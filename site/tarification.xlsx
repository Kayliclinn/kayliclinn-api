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imateur" sheetId="1" state="visible" r:id="rId3"/>
    <sheet name="Forfaits logement" sheetId="2" state="visible" r:id="rId4"/>
    <sheet name="Options et majorations" sheetId="3" state="visible" r:id="rId5"/>
    <sheet name="Tarifs horaires &amp; récurrents" sheetId="4" state="visible" r:id="rId6"/>
    <sheet name="Devis &amp; audit" sheetId="5" state="visible" r:id="rId7"/>
    <sheet name="Légende" sheetId="6" state="visible" r:id="rId8"/>
  </sheets>
  <definedNames>
    <definedName function="false" hidden="true" localSheetId="4" name="_xlnm._FilterDatabase" vbProcedure="false">'Devis &amp; audit'!$A$2:$D$2</definedName>
    <definedName function="false" hidden="true" localSheetId="1" name="_xlnm._FilterDatabase" vbProcedure="false">'Forfaits logement'!$A$2:$H$2</definedName>
    <definedName function="false" hidden="true" localSheetId="3" name="_xlnm._FilterDatabase" vbProcedure="false">'Tarifs horaires &amp; récurrents'!$A$2:$G$2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<sst xmlns="http://schemas.openxmlformats.org/spreadsheetml/2006/main" count="272" uniqueCount="181">
  <si>
    <t xml:space="preserve">Estimateur de devis</t>
  </si>
  <si>
    <t xml:space="preserve">Renseignez les cellules jaunes — le total se calcule tout seul.</t>
  </si>
  <si>
    <t xml:space="preserve">1 · Forfait logement</t>
  </si>
  <si>
    <t xml:space="preserve">Type de prestation</t>
  </si>
  <si>
    <t xml:space="preserve">Nettoyage Airbnb</t>
  </si>
  <si>
    <t xml:space="preserve">Taille du logement</t>
  </si>
  <si>
    <t xml:space="preserve">Studio ≤25 m²</t>
  </si>
  <si>
    <t xml:space="preserve">Prix de base</t>
  </si>
  <si>
    <t xml:space="preserve">2 · Options</t>
  </si>
  <si>
    <t xml:space="preserve">Gestion du linge</t>
  </si>
  <si>
    <t xml:space="preserve">Aucun</t>
  </si>
  <si>
    <t xml:space="preserve">Nettoyage intérieur frigo</t>
  </si>
  <si>
    <t xml:space="preserve">Non</t>
  </si>
  <si>
    <t xml:space="preserve">Nettoyage intérieur four</t>
  </si>
  <si>
    <t xml:space="preserve">Balcon / terrasse</t>
  </si>
  <si>
    <t xml:space="preserve">Sous-total options</t>
  </si>
  <si>
    <t xml:space="preserve">3 · Majorations</t>
  </si>
  <si>
    <t xml:space="preserve">Intervention urgente</t>
  </si>
  <si>
    <t xml:space="preserve">Dimanche / jour férié</t>
  </si>
  <si>
    <t xml:space="preserve">Logement très sale (0–50)</t>
  </si>
  <si>
    <t xml:space="preserve">Total majorations</t>
  </si>
  <si>
    <t xml:space="preserve">4 · Total estimé</t>
  </si>
  <si>
    <t xml:space="preserve">Sous-total (base + options)</t>
  </si>
  <si>
    <t xml:space="preserve">Majorations appliquées</t>
  </si>
  <si>
    <t xml:space="preserve">TOTAL ESTIMÉ</t>
  </si>
  <si>
    <t xml:space="preserve">Acompte à la réservation (30 %)</t>
  </si>
  <si>
    <t xml:space="preserve">Solde à la prestation</t>
  </si>
  <si>
    <t xml:space="preserve">Statut de réservation</t>
  </si>
  <si>
    <t xml:space="preserve">Majoration « très sale » (jusqu'à 50 %) : à appliquer uniquement après validation par photos.</t>
  </si>
  <si>
    <t xml:space="preserve">Forfaits logement — prix fixe par taille (acompte 30 %)</t>
  </si>
  <si>
    <t xml:space="preserve">Prestation</t>
  </si>
  <si>
    <t xml:space="preserve">2 pièces</t>
  </si>
  <si>
    <t xml:space="preserve">3 pièces</t>
  </si>
  <si>
    <t xml:space="preserve">4 pièces</t>
  </si>
  <si>
    <t xml:space="preserve">Statut</t>
  </si>
  <si>
    <t xml:space="preserve">Acompte</t>
  </si>
  <si>
    <t xml:space="preserve">Notes</t>
  </si>
  <si>
    <t xml:space="preserve">Réservable en ligne</t>
  </si>
  <si>
    <t xml:space="preserve">30 %</t>
  </si>
  <si>
    <t xml:space="preserve">Hors Airbnb : même grille (logement standard ≤ 4 pièces)</t>
  </si>
  <si>
    <t xml:space="preserve">Nettoyage après déménagement</t>
  </si>
  <si>
    <t xml:space="preserve">—</t>
  </si>
  <si>
    <t xml:space="preserve">Nettoyage fin de bail</t>
  </si>
  <si>
    <t xml:space="preserve">Nettoyage avant état des lieux</t>
  </si>
  <si>
    <t xml:space="preserve">Si appartement standard</t>
  </si>
  <si>
    <t xml:space="preserve">Nettoyage appartement standard (ponctuel complet)</t>
  </si>
  <si>
    <t xml:space="preserve">État normal ou modérément sale</t>
  </si>
  <si>
    <t xml:space="preserve">Nettoyage logement vide (particulier)</t>
  </si>
  <si>
    <t xml:space="preserve">Réservable en ligne si standard</t>
  </si>
  <si>
    <t xml:space="preserve">Jusqu'à 4 pièces</t>
  </si>
  <si>
    <t xml:space="preserve">Options &amp; majorations</t>
  </si>
  <si>
    <t xml:space="preserve">Suppléments — montant fixe à ajouter</t>
  </si>
  <si>
    <t xml:space="preserve">Supplément</t>
  </si>
  <si>
    <t xml:space="preserve">Montant</t>
  </si>
  <si>
    <t xml:space="preserve">Gestion du linge — petit volume</t>
  </si>
  <si>
    <t xml:space="preserve">Option réservable en ligne</t>
  </si>
  <si>
    <t xml:space="preserve">Gestion du linge — volume moyen</t>
  </si>
  <si>
    <t xml:space="preserve">Gestion du linge — gros volume</t>
  </si>
  <si>
    <t xml:space="preserve">Petit balcon</t>
  </si>
  <si>
    <t xml:space="preserve">Terrasse ou grand balcon</t>
  </si>
  <si>
    <t xml:space="preserve">Vitres intérieures accessibles (option)</t>
  </si>
  <si>
    <t xml:space="preserve">à estimer / surface</t>
  </si>
  <si>
    <t xml:space="preserve">Estimable en ligne</t>
  </si>
  <si>
    <t xml:space="preserve">Majorations — % appliqué sur le total</t>
  </si>
  <si>
    <t xml:space="preserve">Majoration</t>
  </si>
  <si>
    <t xml:space="preserve">Taux</t>
  </si>
  <si>
    <t xml:space="preserve">Intervention urgente simple</t>
  </si>
  <si>
    <t xml:space="preserve">Dimanche ou jour férié</t>
  </si>
  <si>
    <t xml:space="preserve">Logement très sale</t>
  </si>
  <si>
    <t xml:space="preserve">+30 % à +50 %</t>
  </si>
  <si>
    <t xml:space="preserve">Réservable après validation</t>
  </si>
  <si>
    <t xml:space="preserve">Tarifs horaires, au m² &amp; récurrents (HT)</t>
  </si>
  <si>
    <t xml:space="preserve">Min</t>
  </si>
  <si>
    <t xml:space="preserve">Max</t>
  </si>
  <si>
    <t xml:space="preserve">Tarif moyen</t>
  </si>
  <si>
    <t xml:space="preserve">Unité</t>
  </si>
  <si>
    <t xml:space="preserve">Note</t>
  </si>
  <si>
    <t xml:space="preserve">Nettoyage bureaux standard</t>
  </si>
  <si>
    <t xml:space="preserve">€ HT / h</t>
  </si>
  <si>
    <t xml:space="preserve">Estimation puis devis / audit</t>
  </si>
  <si>
    <t xml:space="preserve">Nettoyage bureaux Paris / Île-de-France (contraintes)</t>
  </si>
  <si>
    <t xml:space="preserve">Nettoyage technique ou renforcé</t>
  </si>
  <si>
    <t xml:space="preserve">Estimable en ligne ou audit</t>
  </si>
  <si>
    <t xml:space="preserve">Si complexe : audit</t>
  </si>
  <si>
    <t xml:space="preserve">Minimum par passage (bureaux / locaux)</t>
  </si>
  <si>
    <t xml:space="preserve">€ HT</t>
  </si>
  <si>
    <t xml:space="preserve">Minimum de déplacement / passage</t>
  </si>
  <si>
    <t xml:space="preserve">Nettoyage régulier de locaux</t>
  </si>
  <si>
    <t xml:space="preserve">Surface, fréquence, horaires, sanitaires</t>
  </si>
  <si>
    <t xml:space="preserve">Nettoyage commerce</t>
  </si>
  <si>
    <t xml:space="preserve">Surface, activité, fréquence, horaires</t>
  </si>
  <si>
    <t xml:space="preserve">Nettoyage copropriété simple</t>
  </si>
  <si>
    <t xml:space="preserve">Étages, fréquence, parties communes</t>
  </si>
  <si>
    <t xml:space="preserve">Parties communes simples</t>
  </si>
  <si>
    <t xml:space="preserve">Surface, étages, ascenseur, fréquence</t>
  </si>
  <si>
    <t xml:space="preserve">Vitres intérieures accessibles — récurrent</t>
  </si>
  <si>
    <t xml:space="preserve">€ HT / mois</t>
  </si>
  <si>
    <t xml:space="preserve">À partir de ; fréquence, surface vitrée</t>
  </si>
  <si>
    <t xml:space="preserve">Vitres intérieures accessibles — ponctuel</t>
  </si>
  <si>
    <t xml:space="preserve">€ / m²</t>
  </si>
  <si>
    <t xml:space="preserve">Surface vitrée ou nb de fenêtres</t>
  </si>
  <si>
    <t xml:space="preserve">Nettoyage vitrine commerce</t>
  </si>
  <si>
    <t xml:space="preserve">Ou devis selon accès</t>
  </si>
  <si>
    <t xml:space="preserve">Nettoyage tisanerie / kitchenette</t>
  </si>
  <si>
    <t xml:space="preserve">À partir de ; taille, fréquence</t>
  </si>
  <si>
    <t xml:space="preserve">Gestion des consommables</t>
  </si>
  <si>
    <t xml:space="preserve">Hors consommables (facturés à part)</t>
  </si>
  <si>
    <t xml:space="preserve">Prestations sans forfait — estimation, devis ou audit</t>
  </si>
  <si>
    <t xml:space="preserve">Catégorie</t>
  </si>
  <si>
    <t xml:space="preserve">Infos à demander / règle</t>
  </si>
  <si>
    <t xml:space="preserve">Particuliers</t>
  </si>
  <si>
    <t xml:space="preserve">Grand ménage appartement</t>
  </si>
  <si>
    <t xml:space="preserve">Estimable en ligne ou sur devis</t>
  </si>
  <si>
    <t xml:space="preserve">Grille fin de bail si standard ; sinon audit / photos</t>
  </si>
  <si>
    <t xml:space="preserve">Nettoyage logement meublé classique</t>
  </si>
  <si>
    <t xml:space="preserve">Surface, pièces, état, options ; proposer validation</t>
  </si>
  <si>
    <t xml:space="preserve">Nettoyage maison</t>
  </si>
  <si>
    <t xml:space="preserve">Sur devis avec audit réservable</t>
  </si>
  <si>
    <t xml:space="preserve">Proposer audit ou envoi de photos</t>
  </si>
  <si>
    <t xml:space="preserve">Logement de plus de 4 pièces</t>
  </si>
  <si>
    <t xml:space="preserve">Proposer audit ou validation humaine</t>
  </si>
  <si>
    <t xml:space="preserve">Surface supérieure à 100–150 m²</t>
  </si>
  <si>
    <t xml:space="preserve">Proposer audit</t>
  </si>
  <si>
    <t xml:space="preserve">Logement insalubre</t>
  </si>
  <si>
    <t xml:space="preserve">Sur devis avec audit obligatoire</t>
  </si>
  <si>
    <t xml:space="preserve">Audit / photos obligatoires avant prix</t>
  </si>
  <si>
    <t xml:space="preserve">Syndrome de Diogène</t>
  </si>
  <si>
    <t xml:space="preserve">Audit obligatoire — ne pas réserver automatiquement</t>
  </si>
  <si>
    <t xml:space="preserve">Après sinistre / dégât des eaux / incendie</t>
  </si>
  <si>
    <t xml:space="preserve">Audit obligatoire</t>
  </si>
  <si>
    <t xml:space="preserve">Vitres</t>
  </si>
  <si>
    <t xml:space="preserve">Vitres extérieures accessibles</t>
  </si>
  <si>
    <t xml:space="preserve">Sur devis ou audit</t>
  </si>
  <si>
    <t xml:space="preserve">Demander photos / accès</t>
  </si>
  <si>
    <t xml:space="preserve">Vitres en hauteur / accès difficile</t>
  </si>
  <si>
    <t xml:space="preserve">Syndics / copropriétés</t>
  </si>
  <si>
    <t xml:space="preserve">Nettoyage containers / local poubelles</t>
  </si>
  <si>
    <t xml:space="preserve">Sur devis ou audit réservable</t>
  </si>
  <si>
    <t xml:space="preserve">Nb de bacs, fréquence, état</t>
  </si>
  <si>
    <t xml:space="preserve">Nettoyage local poubelles</t>
  </si>
  <si>
    <t xml:space="preserve">Photos, surface, état, fréquence</t>
  </si>
  <si>
    <t xml:space="preserve">Parking copropriété</t>
  </si>
  <si>
    <t xml:space="preserve">Audit selon surface et machines nécessaires</t>
  </si>
  <si>
    <t xml:space="preserve">Après travaux</t>
  </si>
  <si>
    <t xml:space="preserve">Nettoyage fin de chantier simple</t>
  </si>
  <si>
    <t xml:space="preserve">Surface, poussière, gravats, photos</t>
  </si>
  <si>
    <t xml:space="preserve">Nettoyage après travaux lourd</t>
  </si>
  <si>
    <t xml:space="preserve">Après événement</t>
  </si>
  <si>
    <t xml:space="preserve">Nettoyage après événement simple</t>
  </si>
  <si>
    <t xml:space="preserve">Surface, volume déchets, horaires</t>
  </si>
  <si>
    <t xml:space="preserve">Textile / sols</t>
  </si>
  <si>
    <t xml:space="preserve">Nettoyage canapé</t>
  </si>
  <si>
    <t xml:space="preserve">Type, matière, taches, photos</t>
  </si>
  <si>
    <t xml:space="preserve">Nettoyage moquette</t>
  </si>
  <si>
    <t xml:space="preserve">Surface, état, taches</t>
  </si>
  <si>
    <t xml:space="preserve">Nettoyage tapis</t>
  </si>
  <si>
    <t xml:space="preserve">Dimensions, matière, état, photos</t>
  </si>
  <si>
    <t xml:space="preserve">Extérieur</t>
  </si>
  <si>
    <t xml:space="preserve">Terrasse très sale / grande surface</t>
  </si>
  <si>
    <t xml:space="preserve">Demander photos / surface</t>
  </si>
  <si>
    <t xml:space="preserve">Cas complexes</t>
  </si>
  <si>
    <t xml:space="preserve">Intervention urgente complexe</t>
  </si>
  <si>
    <t xml:space="preserve">Sur devis ou validation humaine</t>
  </si>
  <si>
    <t xml:space="preserve">Ne pas confirmer automatiquement</t>
  </si>
  <si>
    <t xml:space="preserve">Accès difficile</t>
  </si>
  <si>
    <t xml:space="preserve">Demander détails et photos</t>
  </si>
  <si>
    <t xml:space="preserve">Déchets volumineux / encombrants</t>
  </si>
  <si>
    <t xml:space="preserve">Sur devis avec audit</t>
  </si>
  <si>
    <t xml:space="preserve">Audit ou photos obligatoires</t>
  </si>
  <si>
    <t xml:space="preserve">Présence de nuisibles / risques biologiques</t>
  </si>
  <si>
    <t xml:space="preserve">Ne pas réserver automatiquement</t>
  </si>
  <si>
    <t xml:space="preserve">Légende — statut de réservation Claude</t>
  </si>
  <si>
    <t xml:space="preserve">Réservation directe possible. Acompte de 30 % sur les forfaits. Inclut les options réservables en ligne.</t>
  </si>
  <si>
    <t xml:space="preserve">Claude donne une estimation à partir des éléments fournis, puis propose un devis ou une validation.</t>
  </si>
  <si>
    <t xml:space="preserve">Validation requise</t>
  </si>
  <si>
    <t xml:space="preserve">Réservable seulement après validation humaine, photos ou audit (audit réservable). Ne pas confirmer sans cette étape.</t>
  </si>
  <si>
    <t xml:space="preserve">Audit obligatoire / validation humaine</t>
  </si>
  <si>
    <t xml:space="preserve">Cas sensibles : ne jamais réserver ni confirmer automatiquement. Audit ou validation humaine obligatoire avant tout prix.</t>
  </si>
  <si>
    <t xml:space="preserve">Onglets : Estimateur (calcul auto) · Forfaits logement (matrice prix) · Options &amp; majorations · Tarifs horaires &amp; récurrents · Sans forfait (devis/audit).</t>
  </si>
  <si>
    <t xml:space="preserve">Mention « HT » = hors taxes (prestations pro, vitres, forfaits récurrents). Forfaits logement repris tels quels depuis la grille source.</t>
  </si>
  <si>
    <t xml:space="preserve">Acompte de 30 % sur tous les forfaits réservables en ligne. Majorations cumulables, appliquées sur (base + options).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</si>
</sst>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€&quot;"/>
    <numFmt numFmtId="166" formatCode="0%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.5"/>
      <color rgb="FF333333"/>
      <name val="Arial"/>
      <family val="0"/>
      <charset val="1"/>
    </font>
    <font>
      <b val="true"/>
      <sz val="10.5"/>
      <color rgb="FF333333"/>
      <name val="Arial"/>
      <family val="0"/>
      <charset val="1"/>
    </font>
    <font>
      <b val="true"/>
      <sz val="10.5"/>
      <color rgb="FF000000"/>
      <name val="Arial"/>
      <family val="0"/>
      <charset val="1"/>
    </font>
    <font>
      <sz val="10.5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.5"/>
      <color rgb="FF0F5E57"/>
      <name val="Arial"/>
      <family val="0"/>
      <charset val="1"/>
    </font>
    <font>
      <i val="true"/>
      <sz val="9"/>
      <color rgb="FF777777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333333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sz val="9.5"/>
      <color rgb="FF555555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F5E5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9.5"/>
      <color rgb="FF006100"/>
      <name val="Arial"/>
      <family val="0"/>
      <charset val="1"/>
    </font>
    <font>
      <i val="true"/>
      <sz val="9.5"/>
      <color rgb="FF555555"/>
      <name val="Arial"/>
      <family val="0"/>
      <charset val="1"/>
    </font>
    <font>
      <b val="true"/>
      <sz val="9.5"/>
      <color rgb="FF1F4E78"/>
      <name val="Arial"/>
      <family val="0"/>
      <charset val="1"/>
    </font>
    <font>
      <sz val="9.5"/>
      <color rgb="FF000000"/>
      <name val="Arial"/>
      <family val="0"/>
      <charset val="1"/>
    </font>
    <font>
      <b val="true"/>
      <sz val="9.5"/>
      <color rgb="FF9C65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1"/>
      <color rgb="FF9C6500"/>
      <name val="Arial"/>
      <family val="0"/>
      <charset val="1"/>
    </font>
    <font>
      <b val="true"/>
      <sz val="11"/>
      <color rgb="FF9C000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F5E57"/>
        <bgColor rgb="FF1F4E78"/>
      </patternFill>
    </fill>
    <fill>
      <patternFill patternType="solid">
        <fgColor rgb="FF1B7A6E"/>
        <bgColor rgb="FF0F5E57"/>
      </patternFill>
    </fill>
    <fill>
      <patternFill patternType="solid">
        <fgColor rgb="FFFFF3C4"/>
        <bgColor rgb="FFFFF2CC"/>
      </patternFill>
    </fill>
    <fill>
      <patternFill patternType="solid">
        <fgColor rgb="FFF2F2F2"/>
        <bgColor rgb="FFE8F3F1"/>
      </patternFill>
    </fill>
    <fill>
      <patternFill patternType="solid">
        <fgColor rgb="FFC6EFCE"/>
        <bgColor rgb="FFD9E8F5"/>
      </patternFill>
    </fill>
    <fill>
      <patternFill patternType="solid">
        <fgColor rgb="FFE8F3F1"/>
        <bgColor rgb="FFF2F2F2"/>
      </patternFill>
    </fill>
    <fill>
      <patternFill patternType="solid">
        <fgColor rgb="FFD9E8F5"/>
        <bgColor rgb="FFE8F3F1"/>
      </patternFill>
    </fill>
    <fill>
      <patternFill patternType="solid">
        <fgColor rgb="FFFFF2CC"/>
        <bgColor rgb="FFFFF3C4"/>
      </patternFill>
    </fill>
    <fill>
      <patternFill patternType="solid">
        <fgColor rgb="FFFFC7CE"/>
        <bgColor rgb="FFD0D0D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 style="thin">
        <color rgb="FFD0D0D0"/>
      </right>
      <top style="medium">
        <color rgb="FF1B7A6E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2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1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4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9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4" fillId="1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F5E57"/>
          <bgColor rgb="FF000000"/>
        </patternFill>
      </fill>
    </dxf>
    <dxf>
      <fill>
        <patternFill patternType="solid">
          <fgColor rgb="FF1B7A6E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6E"/>
      <rgbColor rgb="FFF2F2F2"/>
      <rgbColor rgb="FF777777"/>
      <rgbColor rgb="FF9999FF"/>
      <rgbColor rgb="FF993366"/>
      <rgbColor rgb="FFFFF3C4"/>
      <rgbColor rgb="FFE8F3F1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F5E57"/>
      <rgbColor rgb="FF0000FF"/>
      <rgbColor rgb="FF00CCFF"/>
      <rgbColor rgb="FFD9E8F5"/>
      <rgbColor rgb="FFC6EFCE"/>
      <rgbColor rgb="FFFFF2C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3"/>
  </cols>
  <sheetData>
    <row r="2" customFormat="false" ht="31.5" hidden="false" customHeight="true" outlineLevel="0" collapsed="false">
      <c r="B2" s="1" t="s">
        <v>0</v>
      </c>
      <c r="C2" s="1"/>
      <c r="D2" s="1"/>
    </row>
    <row r="3" customFormat="false" ht="15" hidden="false" customHeight="true" outlineLevel="0" collapsed="false">
      <c r="B3" s="2" t="s">
        <v>1</v>
      </c>
      <c r="C3" s="2"/>
      <c r="D3" s="2"/>
    </row>
    <row r="5" customFormat="false" ht="21.75" hidden="false" customHeight="true" outlineLevel="0" collapsed="false">
      <c r="B5" s="3" t="s">
        <v>2</v>
      </c>
      <c r="C5" s="3"/>
      <c r="D5" s="3"/>
    </row>
    <row r="6" customFormat="false" ht="1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15" hidden="false" customHeight="false" outlineLevel="0" collapsed="false">
      <c r="B8" s="6" t="s">
        <v>7</v>
      </c>
      <c r="D8" s="7" t="n">
        <f aca="false">IFERROR(INDEX('Forfaits logement'!$B$3:$E$8,MATCH($C$6,'Forfaits logement'!$A$3:$A$8,0),MATCH($C$7,'Forfaits logement'!$B$2:$E$2,0)),0)</f>
        <v>45</v>
      </c>
    </row>
    <row r="10" customFormat="false" ht="21.75" hidden="false" customHeight="true" outlineLevel="0" collapsed="false">
      <c r="B10" s="3" t="s">
        <v>8</v>
      </c>
      <c r="C10" s="3"/>
      <c r="D10" s="3"/>
    </row>
    <row r="11" customFormat="false" ht="15" hidden="false" customHeight="false" outlineLevel="0" collapsed="false">
      <c r="B11" s="4" t="s">
        <v>9</v>
      </c>
      <c r="C11" s="5" t="s">
        <v>10</v>
      </c>
      <c r="D11" s="8" t="n">
        <f aca="false">IF($C$11="Petit volume",'Options et majorations'!$B$5,IF($C$11="Volume moyen",'Options et majorations'!$B$6,IF($C$11="Gros volume",'Options et majorations'!$B$7,0)))</f>
        <v>0</v>
      </c>
    </row>
    <row r="12" customFormat="false" ht="15" hidden="false" customHeight="false" outlineLevel="0" collapsed="false">
      <c r="B12" s="4" t="s">
        <v>11</v>
      </c>
      <c r="C12" s="5" t="s">
        <v>12</v>
      </c>
      <c r="D12" s="8" t="n">
        <f aca="false">IF($C$12="Oui",'Options et majorations'!$B$8,0)</f>
        <v>0</v>
      </c>
    </row>
    <row r="13" customFormat="false" ht="15" hidden="false" customHeight="false" outlineLevel="0" collapsed="false">
      <c r="B13" s="4" t="s">
        <v>13</v>
      </c>
      <c r="C13" s="5" t="s">
        <v>12</v>
      </c>
      <c r="D13" s="8" t="n">
        <f aca="false">IF($C$13="Oui",'Options et majorations'!$B$9,0)</f>
        <v>0</v>
      </c>
    </row>
    <row r="14" customFormat="false" ht="15" hidden="false" customHeight="false" outlineLevel="0" collapsed="false">
      <c r="B14" s="4" t="s">
        <v>14</v>
      </c>
      <c r="C14" s="5" t="s">
        <v>10</v>
      </c>
      <c r="D14" s="8" t="n">
        <f aca="false">IF($C$14="Petit balcon",'Options et majorations'!$B$10,IF($C$14="Terrasse / grand balcon",'Options et majorations'!$B$11,0))</f>
        <v>0</v>
      </c>
    </row>
    <row r="15" customFormat="false" ht="15" hidden="false" customHeight="false" outlineLevel="0" collapsed="false">
      <c r="B15" s="6" t="s">
        <v>15</v>
      </c>
      <c r="D15" s="7" t="n">
        <f aca="false">SUM(D11:D14)</f>
        <v>0</v>
      </c>
    </row>
    <row r="17" customFormat="false" ht="21.75" hidden="false" customHeight="true" outlineLevel="0" collapsed="false">
      <c r="B17" s="3" t="s">
        <v>16</v>
      </c>
      <c r="C17" s="3"/>
      <c r="D17" s="3"/>
    </row>
    <row r="18" customFormat="false" ht="15" hidden="false" customHeight="false" outlineLevel="0" collapsed="false">
      <c r="B18" s="4" t="s">
        <v>17</v>
      </c>
      <c r="C18" s="5" t="s">
        <v>12</v>
      </c>
      <c r="D18" s="9" t="n">
        <f aca="false">IF($C$18="Oui",'Options et majorations'!$B$16,0)</f>
        <v>0</v>
      </c>
    </row>
    <row r="19" customFormat="false" ht="15" hidden="false" customHeight="false" outlineLevel="0" collapsed="false">
      <c r="B19" s="4" t="s">
        <v>18</v>
      </c>
      <c r="C19" s="5" t="s">
        <v>12</v>
      </c>
      <c r="D19" s="9" t="n">
        <f aca="false">IF($C$19="Oui",'Options et majorations'!$B$17,0)</f>
        <v>0</v>
      </c>
    </row>
    <row r="20" customFormat="false" ht="15" hidden="false" customHeight="false" outlineLevel="0" collapsed="false">
      <c r="B20" s="4" t="s">
        <v>19</v>
      </c>
      <c r="C20" s="5" t="n">
        <v>0</v>
      </c>
      <c r="D20" s="9" t="n">
        <f aca="false">C20/100</f>
        <v>0</v>
      </c>
    </row>
    <row r="21" customFormat="false" ht="15" hidden="false" customHeight="false" outlineLevel="0" collapsed="false">
      <c r="B21" s="6" t="s">
        <v>20</v>
      </c>
      <c r="D21" s="10" t="n">
        <f aca="false">D18+D19+D20</f>
        <v>0</v>
      </c>
    </row>
    <row r="23" customFormat="false" ht="21.75" hidden="false" customHeight="true" outlineLevel="0" collapsed="false">
      <c r="B23" s="3" t="s">
        <v>21</v>
      </c>
      <c r="C23" s="3"/>
      <c r="D23" s="3"/>
    </row>
    <row r="24" customFormat="false" ht="15" hidden="false" customHeight="false" outlineLevel="0" collapsed="false">
      <c r="B24" s="4" t="s">
        <v>22</v>
      </c>
      <c r="D24" s="8" t="n">
        <f aca="false">D8+D15</f>
        <v>45</v>
      </c>
    </row>
    <row r="25" customFormat="false" ht="15" hidden="false" customHeight="false" outlineLevel="0" collapsed="false">
      <c r="B25" s="4" t="s">
        <v>23</v>
      </c>
      <c r="D25" s="8" t="n">
        <f aca="false">D24*D21</f>
        <v>0</v>
      </c>
    </row>
    <row r="26" customFormat="false" ht="24" hidden="false" customHeight="true" outlineLevel="0" collapsed="false">
      <c r="B26" s="11" t="s">
        <v>24</v>
      </c>
      <c r="C26" s="12"/>
      <c r="D26" s="13" t="n">
        <f aca="false">D24+D25</f>
        <v>45</v>
      </c>
    </row>
    <row r="27" customFormat="false" ht="15" hidden="false" customHeight="false" outlineLevel="0" collapsed="false">
      <c r="B27" s="4" t="s">
        <v>25</v>
      </c>
      <c r="D27" s="8" t="n">
        <f aca="false">D26*0.3</f>
        <v>13.5</v>
      </c>
    </row>
    <row r="28" customFormat="false" ht="15" hidden="false" customHeight="false" outlineLevel="0" collapsed="false">
      <c r="B28" s="4" t="s">
        <v>26</v>
      </c>
      <c r="D28" s="8" t="n">
        <f aca="false">D26-D27</f>
        <v>31.5</v>
      </c>
    </row>
    <row r="30" customFormat="false" ht="15" hidden="false" customHeight="false" outlineLevel="0" collapsed="false">
      <c r="B30" s="6" t="s">
        <v>27</v>
      </c>
      <c r="C30" s="14" t="str">
        <f aca="false">IFERROR(INDEX('Forfaits logement'!$F$3:$F$8,MATCH($C$6,'Forfaits logement'!$A$3:$A$8,0)),"")</f>
        <v>Réservable en ligne</v>
      </c>
      <c r="D30" s="14"/>
    </row>
    <row r="32" customFormat="false" ht="15" hidden="false" customHeight="true" outlineLevel="0" collapsed="false">
      <c r="B32" s="15" t="s">
        <v>28</v>
      </c>
      <c r="C32" s="15"/>
      <c r="D32" s="15"/>
    </row>
  </sheetData>
  <mergeCells count="8">
    <mergeCell ref="B2:D2"/>
    <mergeCell ref="B3:D3"/>
    <mergeCell ref="B5:D5"/>
    <mergeCell ref="B10:D10"/>
    <mergeCell ref="B17:D17"/>
    <mergeCell ref="B23:D23"/>
    <mergeCell ref="C30:D30"/>
    <mergeCell ref="B32:D32"/>
  </mergeCells>
  <dataValidations count="6">
    <dataValidation allowBlank="false" errorStyle="stop" operator="between" showDropDown="false" showErrorMessage="false" showInputMessage="false" sqref="C6" type="list">
      <formula1>'Forfaits logement'!$A$3:$A$8</formula1>
      <formula2>0</formula2>
    </dataValidation>
    <dataValidation allowBlank="false" errorStyle="stop" operator="between" showDropDown="false" showErrorMessage="false" showInputMessage="false" sqref="C7" type="list">
      <formula1>"Studio ≤25 m²,2 pièces,3 pièces,4 pièces"</formula1>
      <formula2>0</formula2>
    </dataValidation>
    <dataValidation allowBlank="false" errorStyle="stop" operator="between" showDropDown="false" showErrorMessage="false" showInputMessage="false" sqref="C11" type="list">
      <formula1>"Aucun,Petit volume,Volume moyen,Gros volume"</formula1>
      <formula2>0</formula2>
    </dataValidation>
    <dataValidation allowBlank="false" errorStyle="stop" operator="between" showDropDown="false" showErrorMessage="false" showInputMessage="false" sqref="C12:C13 C18:C19" type="list">
      <formula1>"Non,Oui"</formula1>
      <formula2>0</formula2>
    </dataValidation>
    <dataValidation allowBlank="false" errorStyle="stop" operator="between" showDropDown="false" showErrorMessage="false" showInputMessage="false" sqref="C14" type="list">
      <formula1>"Aucun,Petit balcon,Terrasse / grand balcon"</formula1>
      <formula2>0</formula2>
    </dataValidation>
    <dataValidation allowBlank="true" errorStyle="stop" operator="between" showDropDown="false" showErrorMessage="false" showInputMessage="false" sqref="C20" type="whole">
      <formula1>0</formula1>
      <formula2>50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5" min="3" style="0" width="11"/>
    <col collapsed="false" customWidth="true" hidden="false" outlineLevel="0" max="6" min="6" style="0" width="24"/>
    <col collapsed="false" customWidth="true" hidden="false" outlineLevel="0" max="7" min="7" style="0" width="9"/>
    <col collapsed="false" customWidth="true" hidden="false" outlineLevel="0" max="8" min="8" style="0" width="34"/>
  </cols>
  <sheetData>
    <row r="1" customFormat="false" ht="30" hidden="false" customHeight="true" outlineLevel="0" collapsed="false">
      <c r="A1" s="16" t="s">
        <v>29</v>
      </c>
      <c r="B1" s="16"/>
      <c r="C1" s="16"/>
      <c r="D1" s="16"/>
      <c r="E1" s="16"/>
      <c r="F1" s="16"/>
      <c r="G1" s="16"/>
      <c r="H1" s="16"/>
    </row>
    <row r="2" customFormat="false" ht="25.5" hidden="false" customHeight="true" outlineLevel="0" collapsed="false">
      <c r="A2" s="17" t="s">
        <v>30</v>
      </c>
      <c r="B2" s="17" t="s">
        <v>6</v>
      </c>
      <c r="C2" s="17" t="s">
        <v>31</v>
      </c>
      <c r="D2" s="17" t="s">
        <v>32</v>
      </c>
      <c r="E2" s="17" t="s">
        <v>33</v>
      </c>
      <c r="F2" s="17" t="s">
        <v>34</v>
      </c>
      <c r="G2" s="17" t="s">
        <v>35</v>
      </c>
      <c r="H2" s="17" t="s">
        <v>36</v>
      </c>
    </row>
    <row r="3" customFormat="false" ht="23.85" hidden="false" customHeight="false" outlineLevel="0" collapsed="false">
      <c r="A3" s="18" t="s">
        <v>4</v>
      </c>
      <c r="B3" s="19" t="n">
        <v>45</v>
      </c>
      <c r="C3" s="19" t="n">
        <v>60</v>
      </c>
      <c r="D3" s="19" t="n">
        <v>75</v>
      </c>
      <c r="E3" s="19" t="n">
        <v>95</v>
      </c>
      <c r="F3" s="20" t="s">
        <v>37</v>
      </c>
      <c r="G3" s="21" t="s">
        <v>38</v>
      </c>
      <c r="H3" s="22" t="s">
        <v>39</v>
      </c>
    </row>
    <row r="4" customFormat="false" ht="15" hidden="false" customHeight="false" outlineLevel="0" collapsed="false">
      <c r="A4" s="18" t="s">
        <v>40</v>
      </c>
      <c r="B4" s="19" t="n">
        <v>79</v>
      </c>
      <c r="C4" s="19" t="n">
        <v>99</v>
      </c>
      <c r="D4" s="19" t="n">
        <v>119</v>
      </c>
      <c r="E4" s="19" t="n">
        <v>149</v>
      </c>
      <c r="F4" s="20" t="s">
        <v>37</v>
      </c>
      <c r="G4" s="21" t="s">
        <v>38</v>
      </c>
      <c r="H4" s="22" t="s">
        <v>41</v>
      </c>
    </row>
    <row r="5" customFormat="false" ht="15" hidden="false" customHeight="false" outlineLevel="0" collapsed="false">
      <c r="A5" s="18" t="s">
        <v>42</v>
      </c>
      <c r="B5" s="19" t="n">
        <v>79</v>
      </c>
      <c r="C5" s="19" t="n">
        <v>99</v>
      </c>
      <c r="D5" s="19" t="n">
        <v>119</v>
      </c>
      <c r="E5" s="19" t="n">
        <v>149</v>
      </c>
      <c r="F5" s="20" t="s">
        <v>37</v>
      </c>
      <c r="G5" s="21" t="s">
        <v>38</v>
      </c>
      <c r="H5" s="22" t="s">
        <v>41</v>
      </c>
    </row>
    <row r="6" customFormat="false" ht="15" hidden="false" customHeight="false" outlineLevel="0" collapsed="false">
      <c r="A6" s="18" t="s">
        <v>43</v>
      </c>
      <c r="B6" s="19" t="n">
        <v>79</v>
      </c>
      <c r="C6" s="19" t="n">
        <v>99</v>
      </c>
      <c r="D6" s="19" t="n">
        <v>119</v>
      </c>
      <c r="E6" s="19" t="n">
        <v>149</v>
      </c>
      <c r="F6" s="20" t="s">
        <v>37</v>
      </c>
      <c r="G6" s="21" t="s">
        <v>38</v>
      </c>
      <c r="H6" s="22" t="s">
        <v>44</v>
      </c>
    </row>
    <row r="7" customFormat="false" ht="23.85" hidden="false" customHeight="false" outlineLevel="0" collapsed="false">
      <c r="A7" s="18" t="s">
        <v>45</v>
      </c>
      <c r="B7" s="19" t="n">
        <v>79</v>
      </c>
      <c r="C7" s="19" t="n">
        <v>99</v>
      </c>
      <c r="D7" s="19" t="n">
        <v>119</v>
      </c>
      <c r="E7" s="19" t="n">
        <v>149</v>
      </c>
      <c r="F7" s="20" t="s">
        <v>37</v>
      </c>
      <c r="G7" s="21" t="s">
        <v>38</v>
      </c>
      <c r="H7" s="22" t="s">
        <v>46</v>
      </c>
    </row>
    <row r="8" customFormat="false" ht="23.85" hidden="false" customHeight="false" outlineLevel="0" collapsed="false">
      <c r="A8" s="18" t="s">
        <v>47</v>
      </c>
      <c r="B8" s="19" t="n">
        <v>79</v>
      </c>
      <c r="C8" s="19" t="n">
        <v>99</v>
      </c>
      <c r="D8" s="19" t="n">
        <v>119</v>
      </c>
      <c r="E8" s="19" t="n">
        <v>149</v>
      </c>
      <c r="F8" s="20" t="s">
        <v>48</v>
      </c>
      <c r="G8" s="21" t="s">
        <v>38</v>
      </c>
      <c r="H8" s="22" t="s">
        <v>49</v>
      </c>
    </row>
  </sheetData>
  <autoFilter ref="A2:H2"/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30"/>
  </cols>
  <sheetData>
    <row r="1" customFormat="false" ht="30" hidden="false" customHeight="true" outlineLevel="0" collapsed="false">
      <c r="A1" s="23" t="s">
        <v>50</v>
      </c>
      <c r="B1" s="23"/>
      <c r="C1" s="23"/>
    </row>
    <row r="3" customFormat="false" ht="21.75" hidden="false" customHeight="true" outlineLevel="0" collapsed="false">
      <c r="A3" s="24" t="s">
        <v>51</v>
      </c>
      <c r="B3" s="24"/>
      <c r="C3" s="24"/>
    </row>
    <row r="4" customFormat="false" ht="15" hidden="false" customHeight="false" outlineLevel="0" collapsed="false">
      <c r="A4" s="25" t="s">
        <v>52</v>
      </c>
      <c r="B4" s="25" t="s">
        <v>53</v>
      </c>
      <c r="C4" s="25" t="s">
        <v>34</v>
      </c>
    </row>
    <row r="5" customFormat="false" ht="15" hidden="false" customHeight="false" outlineLevel="0" collapsed="false">
      <c r="A5" s="26" t="s">
        <v>54</v>
      </c>
      <c r="B5" s="27" t="n">
        <v>15</v>
      </c>
      <c r="C5" s="28" t="s">
        <v>55</v>
      </c>
    </row>
    <row r="6" customFormat="false" ht="15" hidden="false" customHeight="false" outlineLevel="0" collapsed="false">
      <c r="A6" s="26" t="s">
        <v>56</v>
      </c>
      <c r="B6" s="27" t="n">
        <v>25</v>
      </c>
      <c r="C6" s="28" t="s">
        <v>55</v>
      </c>
    </row>
    <row r="7" customFormat="false" ht="15" hidden="false" customHeight="false" outlineLevel="0" collapsed="false">
      <c r="A7" s="26" t="s">
        <v>57</v>
      </c>
      <c r="B7" s="27" t="n">
        <v>40</v>
      </c>
      <c r="C7" s="28" t="s">
        <v>55</v>
      </c>
    </row>
    <row r="8" customFormat="false" ht="15" hidden="false" customHeight="false" outlineLevel="0" collapsed="false">
      <c r="A8" s="26" t="s">
        <v>11</v>
      </c>
      <c r="B8" s="27" t="n">
        <v>10</v>
      </c>
      <c r="C8" s="28" t="s">
        <v>55</v>
      </c>
    </row>
    <row r="9" customFormat="false" ht="15" hidden="false" customHeight="false" outlineLevel="0" collapsed="false">
      <c r="A9" s="26" t="s">
        <v>13</v>
      </c>
      <c r="B9" s="27" t="n">
        <v>15</v>
      </c>
      <c r="C9" s="28" t="s">
        <v>55</v>
      </c>
    </row>
    <row r="10" customFormat="false" ht="15" hidden="false" customHeight="false" outlineLevel="0" collapsed="false">
      <c r="A10" s="26" t="s">
        <v>58</v>
      </c>
      <c r="B10" s="27" t="n">
        <v>10</v>
      </c>
      <c r="C10" s="28" t="s">
        <v>55</v>
      </c>
    </row>
    <row r="11" customFormat="false" ht="15" hidden="false" customHeight="false" outlineLevel="0" collapsed="false">
      <c r="A11" s="26" t="s">
        <v>59</v>
      </c>
      <c r="B11" s="27" t="n">
        <v>30</v>
      </c>
      <c r="C11" s="28" t="s">
        <v>55</v>
      </c>
    </row>
    <row r="12" customFormat="false" ht="15" hidden="false" customHeight="false" outlineLevel="0" collapsed="false">
      <c r="A12" s="26" t="s">
        <v>60</v>
      </c>
      <c r="B12" s="29" t="s">
        <v>61</v>
      </c>
      <c r="C12" s="30" t="s">
        <v>62</v>
      </c>
    </row>
    <row r="14" customFormat="false" ht="21.75" hidden="false" customHeight="true" outlineLevel="0" collapsed="false">
      <c r="A14" s="24" t="s">
        <v>63</v>
      </c>
      <c r="B14" s="24"/>
      <c r="C14" s="24"/>
    </row>
    <row r="15" customFormat="false" ht="15" hidden="false" customHeight="false" outlineLevel="0" collapsed="false">
      <c r="A15" s="25" t="s">
        <v>64</v>
      </c>
      <c r="B15" s="25" t="s">
        <v>65</v>
      </c>
      <c r="C15" s="25" t="s">
        <v>34</v>
      </c>
    </row>
    <row r="16" customFormat="false" ht="15" hidden="false" customHeight="false" outlineLevel="0" collapsed="false">
      <c r="A16" s="26" t="s">
        <v>66</v>
      </c>
      <c r="B16" s="31" t="n">
        <v>0.2</v>
      </c>
      <c r="C16" s="28" t="s">
        <v>55</v>
      </c>
    </row>
    <row r="17" customFormat="false" ht="15" hidden="false" customHeight="false" outlineLevel="0" collapsed="false">
      <c r="A17" s="26" t="s">
        <v>67</v>
      </c>
      <c r="B17" s="31" t="n">
        <v>0.25</v>
      </c>
      <c r="C17" s="28" t="s">
        <v>55</v>
      </c>
    </row>
    <row r="18" customFormat="false" ht="15" hidden="false" customHeight="false" outlineLevel="0" collapsed="false">
      <c r="A18" s="26" t="s">
        <v>68</v>
      </c>
      <c r="B18" s="32" t="s">
        <v>69</v>
      </c>
      <c r="C18" s="33" t="s">
        <v>70</v>
      </c>
    </row>
  </sheetData>
  <mergeCells count="3">
    <mergeCell ref="A1:C1"/>
    <mergeCell ref="A3:C3"/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9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26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6" t="s">
        <v>71</v>
      </c>
      <c r="B1" s="16"/>
      <c r="C1" s="16"/>
      <c r="D1" s="16"/>
      <c r="E1" s="16"/>
      <c r="F1" s="16"/>
      <c r="G1" s="16"/>
    </row>
    <row r="2" customFormat="false" ht="25.5" hidden="false" customHeight="true" outlineLevel="0" collapsed="false">
      <c r="A2" s="17" t="s">
        <v>30</v>
      </c>
      <c r="B2" s="17" t="s">
        <v>72</v>
      </c>
      <c r="C2" s="17" t="s">
        <v>73</v>
      </c>
      <c r="D2" s="17" t="s">
        <v>74</v>
      </c>
      <c r="E2" s="17" t="s">
        <v>75</v>
      </c>
      <c r="F2" s="17" t="s">
        <v>34</v>
      </c>
      <c r="G2" s="17" t="s">
        <v>76</v>
      </c>
    </row>
    <row r="3" customFormat="false" ht="15" hidden="false" customHeight="false" outlineLevel="0" collapsed="false">
      <c r="A3" s="18" t="s">
        <v>77</v>
      </c>
      <c r="B3" s="27" t="n">
        <v>32</v>
      </c>
      <c r="C3" s="27" t="n">
        <v>38</v>
      </c>
      <c r="D3" s="34" t="n">
        <f aca="false">IF(C3="",B3,(B3+C3)/2)</f>
        <v>35</v>
      </c>
      <c r="E3" s="35" t="s">
        <v>78</v>
      </c>
      <c r="F3" s="30" t="s">
        <v>62</v>
      </c>
      <c r="G3" s="22" t="s">
        <v>79</v>
      </c>
    </row>
    <row r="4" customFormat="false" ht="23.85" hidden="false" customHeight="false" outlineLevel="0" collapsed="false">
      <c r="A4" s="18" t="s">
        <v>80</v>
      </c>
      <c r="B4" s="27" t="n">
        <v>38</v>
      </c>
      <c r="C4" s="27" t="n">
        <v>45</v>
      </c>
      <c r="D4" s="34" t="n">
        <f aca="false">IF(C4="",B4,(B4+C4)/2)</f>
        <v>41.5</v>
      </c>
      <c r="E4" s="35" t="s">
        <v>78</v>
      </c>
      <c r="F4" s="30" t="s">
        <v>62</v>
      </c>
      <c r="G4" s="22" t="s">
        <v>79</v>
      </c>
    </row>
    <row r="5" customFormat="false" ht="15" hidden="false" customHeight="false" outlineLevel="0" collapsed="false">
      <c r="A5" s="18" t="s">
        <v>81</v>
      </c>
      <c r="B5" s="27" t="n">
        <v>45</v>
      </c>
      <c r="C5" s="27" t="n">
        <v>60</v>
      </c>
      <c r="D5" s="34" t="n">
        <f aca="false">IF(C5="",B5,(B5+C5)/2)</f>
        <v>52.5</v>
      </c>
      <c r="E5" s="35" t="s">
        <v>78</v>
      </c>
      <c r="F5" s="30" t="s">
        <v>82</v>
      </c>
      <c r="G5" s="22" t="s">
        <v>83</v>
      </c>
    </row>
    <row r="6" customFormat="false" ht="15" hidden="false" customHeight="false" outlineLevel="0" collapsed="false">
      <c r="A6" s="18" t="s">
        <v>84</v>
      </c>
      <c r="B6" s="27" t="n">
        <v>45</v>
      </c>
      <c r="C6" s="27" t="n">
        <v>65</v>
      </c>
      <c r="D6" s="34" t="n">
        <f aca="false">IF(C6="",B6,(B6+C6)/2)</f>
        <v>55</v>
      </c>
      <c r="E6" s="35" t="s">
        <v>85</v>
      </c>
      <c r="F6" s="30" t="s">
        <v>62</v>
      </c>
      <c r="G6" s="22" t="s">
        <v>86</v>
      </c>
    </row>
    <row r="7" customFormat="false" ht="15" hidden="false" customHeight="false" outlineLevel="0" collapsed="false">
      <c r="A7" s="18" t="s">
        <v>87</v>
      </c>
      <c r="B7" s="27" t="n">
        <v>32</v>
      </c>
      <c r="C7" s="27" t="n">
        <v>60</v>
      </c>
      <c r="D7" s="34" t="n">
        <f aca="false">IF(C7="",B7,(B7+C7)/2)</f>
        <v>46</v>
      </c>
      <c r="E7" s="35" t="s">
        <v>78</v>
      </c>
      <c r="F7" s="30" t="s">
        <v>62</v>
      </c>
      <c r="G7" s="22" t="s">
        <v>88</v>
      </c>
    </row>
    <row r="8" customFormat="false" ht="15" hidden="false" customHeight="false" outlineLevel="0" collapsed="false">
      <c r="A8" s="18" t="s">
        <v>89</v>
      </c>
      <c r="B8" s="27" t="n">
        <v>32</v>
      </c>
      <c r="C8" s="27" t="n">
        <v>60</v>
      </c>
      <c r="D8" s="34" t="n">
        <f aca="false">IF(C8="",B8,(B8+C8)/2)</f>
        <v>46</v>
      </c>
      <c r="E8" s="35" t="s">
        <v>78</v>
      </c>
      <c r="F8" s="30" t="s">
        <v>62</v>
      </c>
      <c r="G8" s="22" t="s">
        <v>90</v>
      </c>
    </row>
    <row r="9" customFormat="false" ht="15" hidden="false" customHeight="false" outlineLevel="0" collapsed="false">
      <c r="A9" s="18" t="s">
        <v>91</v>
      </c>
      <c r="B9" s="27" t="n">
        <v>32</v>
      </c>
      <c r="C9" s="27" t="n">
        <v>60</v>
      </c>
      <c r="D9" s="34" t="n">
        <f aca="false">IF(C9="",B9,(B9+C9)/2)</f>
        <v>46</v>
      </c>
      <c r="E9" s="35" t="s">
        <v>78</v>
      </c>
      <c r="F9" s="30" t="s">
        <v>62</v>
      </c>
      <c r="G9" s="22" t="s">
        <v>92</v>
      </c>
    </row>
    <row r="10" customFormat="false" ht="15" hidden="false" customHeight="false" outlineLevel="0" collapsed="false">
      <c r="A10" s="18" t="s">
        <v>93</v>
      </c>
      <c r="B10" s="27" t="n">
        <v>32</v>
      </c>
      <c r="C10" s="27" t="n">
        <v>60</v>
      </c>
      <c r="D10" s="34" t="n">
        <f aca="false">IF(C10="",B10,(B10+C10)/2)</f>
        <v>46</v>
      </c>
      <c r="E10" s="35" t="s">
        <v>78</v>
      </c>
      <c r="F10" s="30" t="s">
        <v>62</v>
      </c>
      <c r="G10" s="22" t="s">
        <v>94</v>
      </c>
    </row>
    <row r="11" customFormat="false" ht="15" hidden="false" customHeight="false" outlineLevel="0" collapsed="false">
      <c r="A11" s="18" t="s">
        <v>95</v>
      </c>
      <c r="B11" s="27" t="n">
        <v>79</v>
      </c>
      <c r="C11" s="27"/>
      <c r="D11" s="34" t="n">
        <f aca="false">IF(C11="",B11,(B11+C11)/2)</f>
        <v>79</v>
      </c>
      <c r="E11" s="35" t="s">
        <v>96</v>
      </c>
      <c r="F11" s="30" t="s">
        <v>62</v>
      </c>
      <c r="G11" s="22" t="s">
        <v>97</v>
      </c>
    </row>
    <row r="12" customFormat="false" ht="15" hidden="false" customHeight="false" outlineLevel="0" collapsed="false">
      <c r="A12" s="18" t="s">
        <v>98</v>
      </c>
      <c r="B12" s="27" t="n">
        <v>3</v>
      </c>
      <c r="C12" s="27" t="n">
        <v>7</v>
      </c>
      <c r="D12" s="34" t="n">
        <f aca="false">IF(C12="",B12,(B12+C12)/2)</f>
        <v>5</v>
      </c>
      <c r="E12" s="35" t="s">
        <v>99</v>
      </c>
      <c r="F12" s="30" t="s">
        <v>62</v>
      </c>
      <c r="G12" s="22" t="s">
        <v>100</v>
      </c>
    </row>
    <row r="13" customFormat="false" ht="15" hidden="false" customHeight="false" outlineLevel="0" collapsed="false">
      <c r="A13" s="18" t="s">
        <v>101</v>
      </c>
      <c r="B13" s="27" t="n">
        <v>3</v>
      </c>
      <c r="C13" s="27" t="n">
        <v>7</v>
      </c>
      <c r="D13" s="34" t="n">
        <f aca="false">IF(C13="",B13,(B13+C13)/2)</f>
        <v>5</v>
      </c>
      <c r="E13" s="35" t="s">
        <v>99</v>
      </c>
      <c r="F13" s="30" t="s">
        <v>62</v>
      </c>
      <c r="G13" s="22" t="s">
        <v>102</v>
      </c>
    </row>
    <row r="14" customFormat="false" ht="15" hidden="false" customHeight="false" outlineLevel="0" collapsed="false">
      <c r="A14" s="18" t="s">
        <v>103</v>
      </c>
      <c r="B14" s="27" t="n">
        <v>89</v>
      </c>
      <c r="C14" s="27"/>
      <c r="D14" s="34" t="n">
        <f aca="false">IF(C14="",B14,(B14+C14)/2)</f>
        <v>89</v>
      </c>
      <c r="E14" s="35" t="s">
        <v>96</v>
      </c>
      <c r="F14" s="30" t="s">
        <v>62</v>
      </c>
      <c r="G14" s="22" t="s">
        <v>104</v>
      </c>
    </row>
    <row r="15" customFormat="false" ht="15" hidden="false" customHeight="false" outlineLevel="0" collapsed="false">
      <c r="A15" s="18" t="s">
        <v>105</v>
      </c>
      <c r="B15" s="27" t="n">
        <v>39</v>
      </c>
      <c r="C15" s="27" t="n">
        <v>39</v>
      </c>
      <c r="D15" s="34" t="n">
        <f aca="false">IF(C15="",B15,(B15+C15)/2)</f>
        <v>39</v>
      </c>
      <c r="E15" s="35" t="s">
        <v>96</v>
      </c>
      <c r="F15" s="30" t="s">
        <v>62</v>
      </c>
      <c r="G15" s="22" t="s">
        <v>106</v>
      </c>
    </row>
  </sheetData>
  <autoFilter ref="A2:G2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8"/>
    <col collapsed="false" customWidth="true" hidden="false" outlineLevel="0" max="4" min="4" style="0" width="44"/>
  </cols>
  <sheetData>
    <row r="1" customFormat="false" ht="30" hidden="false" customHeight="true" outlineLevel="0" collapsed="false">
      <c r="A1" s="16" t="s">
        <v>107</v>
      </c>
      <c r="B1" s="16"/>
      <c r="C1" s="16"/>
      <c r="D1" s="16"/>
    </row>
    <row r="2" customFormat="false" ht="25.5" hidden="false" customHeight="true" outlineLevel="0" collapsed="false">
      <c r="A2" s="17" t="s">
        <v>108</v>
      </c>
      <c r="B2" s="17" t="s">
        <v>30</v>
      </c>
      <c r="C2" s="17" t="s">
        <v>34</v>
      </c>
      <c r="D2" s="17" t="s">
        <v>109</v>
      </c>
    </row>
    <row r="3" customFormat="false" ht="15" hidden="false" customHeight="false" outlineLevel="0" collapsed="false">
      <c r="A3" s="18" t="s">
        <v>110</v>
      </c>
      <c r="B3" s="36" t="s">
        <v>111</v>
      </c>
      <c r="C3" s="37" t="s">
        <v>112</v>
      </c>
      <c r="D3" s="38" t="s">
        <v>113</v>
      </c>
    </row>
    <row r="4" customFormat="false" ht="15" hidden="false" customHeight="false" outlineLevel="0" collapsed="false">
      <c r="A4" s="18" t="s">
        <v>110</v>
      </c>
      <c r="B4" s="36" t="s">
        <v>114</v>
      </c>
      <c r="C4" s="37" t="s">
        <v>62</v>
      </c>
      <c r="D4" s="38" t="s">
        <v>115</v>
      </c>
    </row>
    <row r="5" customFormat="false" ht="15" hidden="false" customHeight="false" outlineLevel="0" collapsed="false">
      <c r="A5" s="18" t="s">
        <v>110</v>
      </c>
      <c r="B5" s="36" t="s">
        <v>116</v>
      </c>
      <c r="C5" s="39" t="s">
        <v>117</v>
      </c>
      <c r="D5" s="38" t="s">
        <v>118</v>
      </c>
    </row>
    <row r="6" customFormat="false" ht="15" hidden="false" customHeight="false" outlineLevel="0" collapsed="false">
      <c r="A6" s="18" t="s">
        <v>110</v>
      </c>
      <c r="B6" s="36" t="s">
        <v>119</v>
      </c>
      <c r="C6" s="39" t="s">
        <v>117</v>
      </c>
      <c r="D6" s="38" t="s">
        <v>120</v>
      </c>
    </row>
    <row r="7" customFormat="false" ht="15" hidden="false" customHeight="false" outlineLevel="0" collapsed="false">
      <c r="A7" s="18" t="s">
        <v>110</v>
      </c>
      <c r="B7" s="36" t="s">
        <v>121</v>
      </c>
      <c r="C7" s="39" t="s">
        <v>117</v>
      </c>
      <c r="D7" s="38" t="s">
        <v>122</v>
      </c>
    </row>
    <row r="8" customFormat="false" ht="15" hidden="false" customHeight="false" outlineLevel="0" collapsed="false">
      <c r="A8" s="18" t="s">
        <v>110</v>
      </c>
      <c r="B8" s="36" t="s">
        <v>123</v>
      </c>
      <c r="C8" s="40" t="s">
        <v>124</v>
      </c>
      <c r="D8" s="38" t="s">
        <v>125</v>
      </c>
    </row>
    <row r="9" customFormat="false" ht="15" hidden="false" customHeight="false" outlineLevel="0" collapsed="false">
      <c r="A9" s="18" t="s">
        <v>110</v>
      </c>
      <c r="B9" s="36" t="s">
        <v>126</v>
      </c>
      <c r="C9" s="40" t="s">
        <v>124</v>
      </c>
      <c r="D9" s="38" t="s">
        <v>127</v>
      </c>
    </row>
    <row r="10" customFormat="false" ht="15" hidden="false" customHeight="false" outlineLevel="0" collapsed="false">
      <c r="A10" s="18" t="s">
        <v>110</v>
      </c>
      <c r="B10" s="36" t="s">
        <v>128</v>
      </c>
      <c r="C10" s="40" t="s">
        <v>124</v>
      </c>
      <c r="D10" s="38" t="s">
        <v>129</v>
      </c>
    </row>
    <row r="11" customFormat="false" ht="15" hidden="false" customHeight="false" outlineLevel="0" collapsed="false">
      <c r="A11" s="41" t="s">
        <v>130</v>
      </c>
      <c r="B11" s="42" t="s">
        <v>131</v>
      </c>
      <c r="C11" s="43" t="s">
        <v>132</v>
      </c>
      <c r="D11" s="44" t="s">
        <v>133</v>
      </c>
    </row>
    <row r="12" customFormat="false" ht="15" hidden="false" customHeight="false" outlineLevel="0" collapsed="false">
      <c r="A12" s="18" t="s">
        <v>130</v>
      </c>
      <c r="B12" s="36" t="s">
        <v>134</v>
      </c>
      <c r="C12" s="40" t="s">
        <v>124</v>
      </c>
      <c r="D12" s="38" t="s">
        <v>127</v>
      </c>
    </row>
    <row r="13" customFormat="false" ht="15" hidden="false" customHeight="false" outlineLevel="0" collapsed="false">
      <c r="A13" s="41" t="s">
        <v>135</v>
      </c>
      <c r="B13" s="42" t="s">
        <v>136</v>
      </c>
      <c r="C13" s="43" t="s">
        <v>137</v>
      </c>
      <c r="D13" s="44" t="s">
        <v>138</v>
      </c>
    </row>
    <row r="14" customFormat="false" ht="15" hidden="false" customHeight="false" outlineLevel="0" collapsed="false">
      <c r="A14" s="18" t="s">
        <v>135</v>
      </c>
      <c r="B14" s="36" t="s">
        <v>139</v>
      </c>
      <c r="C14" s="39" t="s">
        <v>137</v>
      </c>
      <c r="D14" s="38" t="s">
        <v>140</v>
      </c>
    </row>
    <row r="15" customFormat="false" ht="15" hidden="false" customHeight="false" outlineLevel="0" collapsed="false">
      <c r="A15" s="18" t="s">
        <v>135</v>
      </c>
      <c r="B15" s="36" t="s">
        <v>141</v>
      </c>
      <c r="C15" s="39" t="s">
        <v>117</v>
      </c>
      <c r="D15" s="38" t="s">
        <v>142</v>
      </c>
    </row>
    <row r="16" customFormat="false" ht="15" hidden="false" customHeight="false" outlineLevel="0" collapsed="false">
      <c r="A16" s="41" t="s">
        <v>143</v>
      </c>
      <c r="B16" s="42" t="s">
        <v>144</v>
      </c>
      <c r="C16" s="43" t="s">
        <v>117</v>
      </c>
      <c r="D16" s="44" t="s">
        <v>145</v>
      </c>
    </row>
    <row r="17" customFormat="false" ht="15" hidden="false" customHeight="false" outlineLevel="0" collapsed="false">
      <c r="A17" s="18" t="s">
        <v>143</v>
      </c>
      <c r="B17" s="36" t="s">
        <v>146</v>
      </c>
      <c r="C17" s="40" t="s">
        <v>124</v>
      </c>
      <c r="D17" s="38" t="s">
        <v>129</v>
      </c>
    </row>
    <row r="18" customFormat="false" ht="15" hidden="false" customHeight="false" outlineLevel="0" collapsed="false">
      <c r="A18" s="41" t="s">
        <v>147</v>
      </c>
      <c r="B18" s="42" t="s">
        <v>148</v>
      </c>
      <c r="C18" s="43" t="s">
        <v>137</v>
      </c>
      <c r="D18" s="44" t="s">
        <v>149</v>
      </c>
    </row>
    <row r="19" customFormat="false" ht="15" hidden="false" customHeight="false" outlineLevel="0" collapsed="false">
      <c r="A19" s="41" t="s">
        <v>150</v>
      </c>
      <c r="B19" s="42" t="s">
        <v>151</v>
      </c>
      <c r="C19" s="43" t="s">
        <v>137</v>
      </c>
      <c r="D19" s="44" t="s">
        <v>152</v>
      </c>
    </row>
    <row r="20" customFormat="false" ht="15" hidden="false" customHeight="false" outlineLevel="0" collapsed="false">
      <c r="A20" s="18" t="s">
        <v>150</v>
      </c>
      <c r="B20" s="36" t="s">
        <v>153</v>
      </c>
      <c r="C20" s="39" t="s">
        <v>137</v>
      </c>
      <c r="D20" s="38" t="s">
        <v>154</v>
      </c>
    </row>
    <row r="21" customFormat="false" ht="15" hidden="false" customHeight="false" outlineLevel="0" collapsed="false">
      <c r="A21" s="18" t="s">
        <v>150</v>
      </c>
      <c r="B21" s="36" t="s">
        <v>155</v>
      </c>
      <c r="C21" s="39" t="s">
        <v>137</v>
      </c>
      <c r="D21" s="38" t="s">
        <v>156</v>
      </c>
    </row>
    <row r="22" customFormat="false" ht="15" hidden="false" customHeight="false" outlineLevel="0" collapsed="false">
      <c r="A22" s="41" t="s">
        <v>157</v>
      </c>
      <c r="B22" s="42" t="s">
        <v>158</v>
      </c>
      <c r="C22" s="43" t="s">
        <v>117</v>
      </c>
      <c r="D22" s="44" t="s">
        <v>159</v>
      </c>
    </row>
    <row r="23" customFormat="false" ht="23.85" hidden="false" customHeight="false" outlineLevel="0" collapsed="false">
      <c r="A23" s="41" t="s">
        <v>160</v>
      </c>
      <c r="B23" s="42" t="s">
        <v>161</v>
      </c>
      <c r="C23" s="45" t="s">
        <v>162</v>
      </c>
      <c r="D23" s="44" t="s">
        <v>163</v>
      </c>
    </row>
    <row r="24" customFormat="false" ht="23.85" hidden="false" customHeight="false" outlineLevel="0" collapsed="false">
      <c r="A24" s="18" t="s">
        <v>160</v>
      </c>
      <c r="B24" s="36" t="s">
        <v>164</v>
      </c>
      <c r="C24" s="40" t="s">
        <v>162</v>
      </c>
      <c r="D24" s="38" t="s">
        <v>165</v>
      </c>
    </row>
    <row r="25" customFormat="false" ht="15" hidden="false" customHeight="false" outlineLevel="0" collapsed="false">
      <c r="A25" s="18" t="s">
        <v>160</v>
      </c>
      <c r="B25" s="36" t="s">
        <v>166</v>
      </c>
      <c r="C25" s="39" t="s">
        <v>167</v>
      </c>
      <c r="D25" s="38" t="s">
        <v>168</v>
      </c>
    </row>
    <row r="26" customFormat="false" ht="15" hidden="false" customHeight="false" outlineLevel="0" collapsed="false">
      <c r="A26" s="18" t="s">
        <v>160</v>
      </c>
      <c r="B26" s="36" t="s">
        <v>169</v>
      </c>
      <c r="C26" s="40" t="s">
        <v>124</v>
      </c>
      <c r="D26" s="38" t="s">
        <v>170</v>
      </c>
    </row>
  </sheetData>
  <autoFilter ref="A2:D2"/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0"/>
  </cols>
  <sheetData>
    <row r="1" customFormat="false" ht="27.75" hidden="false" customHeight="true" outlineLevel="0" collapsed="false">
      <c r="A1" s="23" t="s">
        <v>171</v>
      </c>
      <c r="B1" s="23"/>
    </row>
    <row r="3" customFormat="false" ht="36" hidden="false" customHeight="true" outlineLevel="0" collapsed="false">
      <c r="A3" s="46" t="s">
        <v>37</v>
      </c>
      <c r="B3" s="47" t="s">
        <v>172</v>
      </c>
    </row>
    <row r="4" customFormat="false" ht="36" hidden="false" customHeight="true" outlineLevel="0" collapsed="false">
      <c r="A4" s="48" t="s">
        <v>62</v>
      </c>
      <c r="B4" s="47" t="s">
        <v>173</v>
      </c>
    </row>
    <row r="5" customFormat="false" ht="36" hidden="false" customHeight="true" outlineLevel="0" collapsed="false">
      <c r="A5" s="49" t="s">
        <v>174</v>
      </c>
      <c r="B5" s="47" t="s">
        <v>175</v>
      </c>
    </row>
    <row r="6" customFormat="false" ht="36" hidden="false" customHeight="true" outlineLevel="0" collapsed="false">
      <c r="A6" s="50" t="s">
        <v>176</v>
      </c>
      <c r="B6" s="47" t="s">
        <v>177</v>
      </c>
    </row>
    <row r="8" customFormat="false" ht="30" hidden="false" customHeight="true" outlineLevel="0" collapsed="false">
      <c r="A8" s="2" t="s">
        <v>178</v>
      </c>
      <c r="B8" s="2"/>
    </row>
    <row r="9" customFormat="false" ht="30" hidden="false" customHeight="true" outlineLevel="0" collapsed="false">
      <c r="A9" s="2" t="s">
        <v>179</v>
      </c>
      <c r="B9" s="2"/>
    </row>
    <row r="10" customFormat="false" ht="30" hidden="false" customHeight="true" outlineLevel="0" collapsed="false">
      <c r="A10" s="2" t="s">
        <v>180</v>
      </c>
      <c r="B10" s="2"/>
    </row>
  </sheetData>
  <mergeCells count="4">
    <mergeCell ref="A1:B1"/>
    <mergeCell ref="A8:B8"/>
    <mergeCell ref="A9:B9"/>
    <mergeCell ref="A10:B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2026-06-11T10:58:56Z</dcterms:created>
  <dc:creator>openpyxl</dc:creator>
  <dc:description/>
  <dc:language>en-US</dc:language>
  <cp:lastModifiedBy/>
  <dcterms:modified xsi:type="dcterms:W3CDTF">2026-06-11T10:58:56Z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