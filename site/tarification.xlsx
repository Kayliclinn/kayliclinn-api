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ur" sheetId="1" state="visible" r:id="rId3"/>
    <sheet name="Méthode et synthèse" sheetId="2" state="visible" r:id="rId4"/>
    <sheet name="Forfaits B2C" sheetId="3" state="visible" r:id="rId5"/>
    <sheet name="Options" sheetId="4" state="visible" r:id="rId6"/>
    <sheet name="Majorations et frais" sheetId="5" state="visible" r:id="rId7"/>
    <sheet name="Estimation chantier" sheetId="6" state="visible" r:id="rId8"/>
    <sheet name="Devis B2B et lourd" sheetId="7" state="visible" r:id="rId9"/>
    <sheet name="Bascule vers devis" sheetId="8" state="visible" r:id="rId10"/>
    <sheet name="Contrôle rentabilité" sheetId="9" state="visible" r:id="rId11"/>
    <sheet name="À trancher (Tatiana)" sheetId="10" state="visible" r:id="rId12"/>
    <sheet name="Sources et légend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<sst xmlns="http://schemas.openxmlformats.org/spreadsheetml/2006/main" count="340" uniqueCount="262">
  <si>
    <t xml:space="preserve">Estimateur de devis — prestations B2C</t>
  </si>
  <si>
    <t xml:space="preserve">Renseignez les cellules jaunes. Particuliers : prix TTC (TVA 20 %).</t>
  </si>
  <si>
    <t xml:space="preserve">1 · Prestation</t>
  </si>
  <si>
    <t xml:space="preserve">Prestation</t>
  </si>
  <si>
    <t xml:space="preserve">Turnover Airbnb</t>
  </si>
  <si>
    <t xml:space="preserve">Typologie</t>
  </si>
  <si>
    <t xml:space="preserve">Studio / T1</t>
  </si>
  <si>
    <t xml:space="preserve">Prix de base (forfait)</t>
  </si>
  <si>
    <t xml:space="preserve">2 · Options</t>
  </si>
  <si>
    <t xml:space="preserve">Four en profondeur</t>
  </si>
  <si>
    <t xml:space="preserve">Non</t>
  </si>
  <si>
    <t xml:space="preserve">Réfrigérateur / congélateur</t>
  </si>
  <si>
    <t xml:space="preserve">Vitres intérieures</t>
  </si>
  <si>
    <t xml:space="preserve">Intérieur des placards</t>
  </si>
  <si>
    <t xml:space="preserve">Réassort consommables</t>
  </si>
  <si>
    <t xml:space="preserve">Cave / box</t>
  </si>
  <si>
    <t xml:space="preserve">Repassage (heures)</t>
  </si>
  <si>
    <t xml:space="preserve">Kit linge (nombre de lits)</t>
  </si>
  <si>
    <t xml:space="preserve">Balcon / terrasse (m²)</t>
  </si>
  <si>
    <t xml:space="preserve">Moquette (m²)</t>
  </si>
  <si>
    <t xml:space="preserve">Sous-total options</t>
  </si>
  <si>
    <t xml:space="preserve">3 · Majorations &amp; frais</t>
  </si>
  <si>
    <t xml:space="preserve">Urgence &lt; 48 h</t>
  </si>
  <si>
    <t xml:space="preserve">Dimanche / jour férié</t>
  </si>
  <si>
    <t xml:space="preserve">Logement non vidé (fin de bail)</t>
  </si>
  <si>
    <t xml:space="preserve">Très encrassé / &gt; 6 mois (grand ménage)</t>
  </si>
  <si>
    <t xml:space="preserve">Total majorations</t>
  </si>
  <si>
    <t xml:space="preserve">Étage ≥ 3 sans ascenseur</t>
  </si>
  <si>
    <t xml:space="preserve">Forfait déplacement (€)</t>
  </si>
  <si>
    <t xml:space="preserve">4 · Total estimé</t>
  </si>
  <si>
    <t xml:space="preserve">Sous-total (base + options)</t>
  </si>
  <si>
    <t xml:space="preserve">Majorations appliquées</t>
  </si>
  <si>
    <t xml:space="preserve">Frais fixes (étage + déplacement)</t>
  </si>
  <si>
    <t xml:space="preserve">TOTAL ESTIMÉ</t>
  </si>
  <si>
    <t xml:space="preserve">Acompte indicatif (30 %)</t>
  </si>
  <si>
    <t xml:space="preserve">Solde à la prestation</t>
  </si>
  <si>
    <t xml:space="preserve">Mode de vente</t>
  </si>
  <si>
    <t xml:space="preserve">Majorations appliquées sur (base + options). Acompte 30 % indicatif, à confirmer. Crédit d'impôt 50 % non applicable en l'état (voir « À trancher »).</t>
  </si>
  <si>
    <t xml:space="preserve">Méthode de décision &amp; synthèse du catalogue</t>
  </si>
  <si>
    <t xml:space="preserve">Règle de décision — vendable en ligne à prix fixe SI les 3 conditions sont réunies</t>
  </si>
  <si>
    <t xml:space="preserve">1 · Paramètres déclarables — le client renseigne seul, sans erreur possible, ce qui fait le prix (typologie, surface, logement vide ou non, nombre de lits…).</t>
  </si>
  <si>
    <t xml:space="preserve">2 · Variance maîtrisée — l'écart entre la déclaration et le terrain reste faible ; le risque de vendre à perte est limité et encadrable par les CGV.</t>
  </si>
  <si>
    <t xml:space="preserve">3 · Périmètre fermé — la prestation tient dans une check-list de tâches identique d'une intervention à l'autre (standardisable en forfait).</t>
  </si>
  <si>
    <t xml:space="preserve">→ Un critère manque : estimation indicative + validation (photos ou audit) avant prix ferme.</t>
  </si>
  <si>
    <t xml:space="preserve">→ Deux critères manquent, ou contrat récurrent B2B : devis pur après visite.</t>
  </si>
  <si>
    <t xml:space="preserve">Synthèse — classement du catalogue</t>
  </si>
  <si>
    <t xml:space="preserve">Flux</t>
  </si>
  <si>
    <t xml:space="preserve">Raison principale</t>
  </si>
  <si>
    <t xml:space="preserve">Prix fixe en ligne + paiement</t>
  </si>
  <si>
    <t xml:space="preserve">B (Stripe)</t>
  </si>
  <si>
    <t xml:space="preserve">Typologie déclarable, périmètre fermé, récurrent</t>
  </si>
  <si>
    <t xml:space="preserve">Ménage fin de bail / déménagement</t>
  </si>
  <si>
    <t xml:space="preserve">Standardisable si logement vide</t>
  </si>
  <si>
    <t xml:space="preserve">Grand ménage ponctuel (meublé)</t>
  </si>
  <si>
    <t xml:space="preserve">Prix fixe en ligne avec question d'état</t>
  </si>
  <si>
    <t xml:space="preserve">Variance « état » encadrée par coefficient</t>
  </si>
  <si>
    <t xml:space="preserve">Vitrerie résidentielle simple</t>
  </si>
  <si>
    <t xml:space="preserve">Prix fixe en ligne (plain-pied / intérieur)</t>
  </si>
  <si>
    <t xml:space="preserve">Bascule devis si hauteur ou vitrine</t>
  </si>
  <si>
    <t xml:space="preserve">Fin de chantier</t>
  </si>
  <si>
    <t xml:space="preserve">Estimation indicative → prix ferme après photos/audit</t>
  </si>
  <si>
    <t xml:space="preserve">A enrichi</t>
  </si>
  <si>
    <t xml:space="preserve">Empoussièrement et gravats invérifiables en ligne</t>
  </si>
  <si>
    <t xml:space="preserve">Bureaux &amp; locaux pro (régulier)</t>
  </si>
  <si>
    <t xml:space="preserve">Devis (avec simulateur de budget indicatif)</t>
  </si>
  <si>
    <t xml:space="preserve">A</t>
  </si>
  <si>
    <t xml:space="preserve">Fréquence, horaires, cahier des charges, visite</t>
  </si>
  <si>
    <t xml:space="preserve">Copropriétés / parties communes</t>
  </si>
  <si>
    <t xml:space="preserve">Devis</t>
  </si>
  <si>
    <t xml:space="preserve">Cahier des charges syndic, fréquences, containers</t>
  </si>
  <si>
    <t xml:space="preserve">Commerces / ERP</t>
  </si>
  <si>
    <t xml:space="preserve">Contraintes d'exploitation, horaires décalés</t>
  </si>
  <si>
    <t xml:space="preserve">Remise en état lourde (insalubre, sinistre, décès)</t>
  </si>
  <si>
    <t xml:space="preserve">Devis strict — jamais de chiffre en ligne</t>
  </si>
  <si>
    <t xml:space="preserve">Variance extrême, risque sanitaire</t>
  </si>
  <si>
    <t xml:space="preserve">Textiles (canapé, matelas, moquette)</t>
  </si>
  <si>
    <t xml:space="preserve">Prix fixe en option ou mini-grille</t>
  </si>
  <si>
    <t xml:space="preserve">B</t>
  </si>
  <si>
    <t xml:space="preserve">Le marché vend déjà ces prestations à prix fixe</t>
  </si>
  <si>
    <t xml:space="preserve">Forfaits B2C — prix fixe en ligne (TTC, à valider § Contrôle rentabilité)</t>
  </si>
  <si>
    <t xml:space="preserve">T2</t>
  </si>
  <si>
    <t xml:space="preserve">T3</t>
  </si>
  <si>
    <t xml:space="preserve">T4</t>
  </si>
  <si>
    <t xml:space="preserve">T5</t>
  </si>
  <si>
    <t xml:space="preserve">Au-delà du forfait</t>
  </si>
  <si>
    <t xml:space="preserve">Inclus / conditions</t>
  </si>
  <si>
    <t xml:space="preserve">À partir de 150 € / devis</t>
  </si>
  <si>
    <t xml:space="preserve">Maison / &gt; 90 m² : devis</t>
  </si>
  <si>
    <t xml:space="preserve">Ménage de rotation, état d'usage normal</t>
  </si>
  <si>
    <t xml:space="preserve">Prix fixe en ligne</t>
  </si>
  <si>
    <t xml:space="preserve">Fin de bail / déménagement (logement vide)</t>
  </si>
  <si>
    <t xml:space="preserve">&gt; 110 m² ou maison : devis</t>
  </si>
  <si>
    <t xml:space="preserve">Électroménager + vitres intérieures + placards INCLUS</t>
  </si>
  <si>
    <t xml:space="preserve">Grand ménage (meublé occupé)</t>
  </si>
  <si>
    <t xml:space="preserve">T5+ : devis</t>
  </si>
  <si>
    <t xml:space="preserve">État courant ; +30 % si très encrassé (ou devis)</t>
  </si>
  <si>
    <t xml:space="preserve">Prix fixe + coeff. état</t>
  </si>
  <si>
    <t xml:space="preserve">Hauteur, vitrine, verrière : devis</t>
  </si>
  <si>
    <t xml:space="preserve">Plain-pied / intérieur accessible ; minimum 70 €</t>
  </si>
  <si>
    <t xml:space="preserve">Durées de référence — Turnover Airbnb</t>
  </si>
  <si>
    <t xml:space="preserve">Studio / T1 (≤ 35 m²)</t>
  </si>
  <si>
    <t xml:space="preserve">~ 1 h 45</t>
  </si>
  <si>
    <t xml:space="preserve">T2 (35–50 m²)</t>
  </si>
  <si>
    <t xml:space="preserve">~ 2 h 15</t>
  </si>
  <si>
    <t xml:space="preserve">T3 (50–70 m²)</t>
  </si>
  <si>
    <t xml:space="preserve">~ 2 h 45</t>
  </si>
  <si>
    <t xml:space="preserve">T4 (70–90 m²)</t>
  </si>
  <si>
    <t xml:space="preserve">~ 3 h 30</t>
  </si>
  <si>
    <t xml:space="preserve">Repères marché 2026 (justification des grilles)</t>
  </si>
  <si>
    <t xml:space="preserve">• Airbnb : forfaits rotation studio 30–50 € · T2 50–65 € · T3 60–90 € · &gt;100 m² 80–200 € (~0,8–1,2 €/m²). Coût marché rotation IDF 35–50 € ; le voyageur paie 60–90 € pour un T2 parisien.</t>
  </si>
  <si>
    <t xml:space="preserve">• Fin de bail / état des lieux : après déménagement 100–350 € · avant état des lieux 120–400 € · fourchette nationale 160 à 680+ €. Plateformes B2C à partir de ~37,90 €/h. Cuisine et SDB = zones qui déclenchent le plus de retenues sur caution.</t>
  </si>
  <si>
    <t xml:space="preserve">• Grand ménage : forfait 150–400 € · ménage à domicile 25–40 €/h.</t>
  </si>
  <si>
    <t xml:space="preserve">• Vitrerie : 3–7 €/m² vitré · interventions 50–118 € · 20–40 €/h · travaux en hauteur 7–15 €/m².</t>
  </si>
  <si>
    <t xml:space="preserve">• Positionnement : au-dessus du prestataire indépendant (société structurée : encadrement, assurance, contrôle qualité), dans la fourchette de ce que paie déjà le voyageur — neutre pour l'hôte qui refacture.</t>
  </si>
  <si>
    <t xml:space="preserve">Catalogue des options à prix fixe (TTC, à valider)</t>
  </si>
  <si>
    <t xml:space="preserve">Suppléments — base de calcul de l'estimateur</t>
  </si>
  <si>
    <t xml:space="preserve">Option</t>
  </si>
  <si>
    <t xml:space="preserve">Prix</t>
  </si>
  <si>
    <t xml:space="preserve">Unité</t>
  </si>
  <si>
    <t xml:space="preserve">Compatible avec</t>
  </si>
  <si>
    <t xml:space="preserve">Base / justification</t>
  </si>
  <si>
    <t xml:space="preserve">€</t>
  </si>
  <si>
    <t xml:space="preserve">Airbnb, grand ménage</t>
  </si>
  <si>
    <t xml:space="preserve">30–60 min de travail constaté</t>
  </si>
  <si>
    <t xml:space="preserve">&lt; 30 min constaté</t>
  </si>
  <si>
    <t xml:space="preserve">€ (20–60 selon typologie)</t>
  </si>
  <si>
    <t xml:space="preserve">3–7 €/m² vitré (marché)</t>
  </si>
  <si>
    <t xml:space="preserve">Kit linge par lit (location, lavage, livraison)</t>
  </si>
  <si>
    <t xml:space="preserve">€/lit</t>
  </si>
  <si>
    <t xml:space="preserve">Airbnb</t>
  </si>
  <si>
    <t xml:space="preserve">Coût réel 12–15 €, linge pro 2–4 €/pièce</t>
  </si>
  <si>
    <t xml:space="preserve">Forfait marché courant</t>
  </si>
  <si>
    <t xml:space="preserve">Repassage</t>
  </si>
  <si>
    <t xml:space="preserve">€/h</t>
  </si>
  <si>
    <t xml:space="preserve">Taux horaire B2C</t>
  </si>
  <si>
    <t xml:space="preserve">Grand ménage</t>
  </si>
  <si>
    <t xml:space="preserve">Temps estimé</t>
  </si>
  <si>
    <t xml:space="preserve">Balcon / terrasse</t>
  </si>
  <si>
    <t xml:space="preserve">€/m² (min. 20 €)</t>
  </si>
  <si>
    <t xml:space="preserve">Fin de bail, grand ménage</t>
  </si>
  <si>
    <t xml:space="preserve">Fin de bail</t>
  </si>
  <si>
    <t xml:space="preserve">Canapé 2 places</t>
  </si>
  <si>
    <t xml:space="preserve">Toutes B2C</t>
  </si>
  <si>
    <t xml:space="preserve">Grilles fixes concurrentes</t>
  </si>
  <si>
    <t xml:space="preserve">Canapé 3 places</t>
  </si>
  <si>
    <t xml:space="preserve">Canapé 4 places</t>
  </si>
  <si>
    <t xml:space="preserve">Fauteuil</t>
  </si>
  <si>
    <t xml:space="preserve">Matelas 2 places</t>
  </si>
  <si>
    <t xml:space="preserve">€ (70–100)</t>
  </si>
  <si>
    <t xml:space="preserve">Moquette injection-extraction</t>
  </si>
  <si>
    <t xml:space="preserve">€/m² (min. 100 €)</t>
  </si>
  <si>
    <t xml:space="preserve">Fin de bail, bureaux</t>
  </si>
  <si>
    <t xml:space="preserve">100–200 €/intervention (marché)</t>
  </si>
  <si>
    <t xml:space="preserve">Textiles (canapé, matelas, fauteuil) : à proposer en OPTION des forfaits plutôt qu'en prestation autonome au lancement — le déplacement seul pour un fauteuil à 50 € est peu rentable.</t>
  </si>
  <si>
    <t xml:space="preserve">Majorations &amp; frais standardisables (affichables en ligne)</t>
  </si>
  <si>
    <t xml:space="preserve">Taux et frais — base de calcul de l'estimateur</t>
  </si>
  <si>
    <t xml:space="preserve">Cas</t>
  </si>
  <si>
    <t xml:space="preserve">Valeur</t>
  </si>
  <si>
    <t xml:space="preserve">Type</t>
  </si>
  <si>
    <t xml:space="preserve">Recommandation / à trancher</t>
  </si>
  <si>
    <t xml:space="preserve">%</t>
  </si>
  <si>
    <t xml:space="preserve">Sur le total</t>
  </si>
  <si>
    <t xml:space="preserve">+25 à +50 % — à fixer selon la majoration versée aux prestataires</t>
  </si>
  <si>
    <t xml:space="preserve">Ou bascule vers devis</t>
  </si>
  <si>
    <t xml:space="preserve">Très encrassé / &gt; 6 mois sans entretien (grand ménage)</t>
  </si>
  <si>
    <t xml:space="preserve">Ou bascule vers devis avec photos</t>
  </si>
  <si>
    <t xml:space="preserve">Frais fixe</t>
  </si>
  <si>
    <t xml:space="preserve">Zone grande couronne éloignée</t>
  </si>
  <si>
    <t xml:space="preserve">15–30 €</t>
  </si>
  <si>
    <t xml:space="preserve">Forfait déplacement selon zonage des 8 départements (à définir)</t>
  </si>
  <si>
    <t xml:space="preserve">Annulation &lt; 24 h</t>
  </si>
  <si>
    <t xml:space="preserve">% du forfait</t>
  </si>
  <si>
    <t xml:space="preserve">À inscrire aux CGV</t>
  </si>
  <si>
    <t xml:space="preserve">Fin de chantier — estimation indicative (HT, ± 15 %)</t>
  </si>
  <si>
    <t xml:space="preserve">Affiché comme fourchette indicative, JAMAIS comme prix ferme. Mention obligatoire : « Prix confirmé après audit gratuit ou envoi de photos ».</t>
  </si>
  <si>
    <t xml:space="preserve">Niveau</t>
  </si>
  <si>
    <t xml:space="preserve">Taux (€/m² HT)</t>
  </si>
  <si>
    <t xml:space="preserve">Descriptif</t>
  </si>
  <si>
    <t xml:space="preserve">Rafraîchissement</t>
  </si>
  <si>
    <t xml:space="preserve">Peinture seule, sols protégés</t>
  </si>
  <si>
    <t xml:space="preserve">Rénovation standard</t>
  </si>
  <si>
    <t xml:space="preserve">Dépoussiérage complet, vitres, traces</t>
  </si>
  <si>
    <t xml:space="preserve">Chantier lourd</t>
  </si>
  <si>
    <t xml:space="preserve">Construction neuve, voiles de ciment, gravats</t>
  </si>
  <si>
    <t xml:space="preserve">Simulateur (indicatif)</t>
  </si>
  <si>
    <t xml:space="preserve">Niveau de chantier</t>
  </si>
  <si>
    <t xml:space="preserve">Surface (m²)</t>
  </si>
  <si>
    <t xml:space="preserve">Taux applicable (€/m² HT)</t>
  </si>
  <si>
    <t xml:space="preserve">Estimation centrale (min. 300 €)</t>
  </si>
  <si>
    <t xml:space="preserve">Fourchette basse (− 15 %)</t>
  </si>
  <si>
    <t xml:space="preserve">Fourchette haute (+ 15 %)</t>
  </si>
  <si>
    <t xml:space="preserve">Marché 2026 (HT) : IDF 4–15 €/m² · simplifié 2–4 · standard 4–7 · complet 8–12 · ou 3–6 (peu sale) / 6–10 (réno) / 10–15 (lourd, neuf). Accès difficile (étage sans ascenseur, haussmannien, pas de point d'eau) : +10 à 20 %. À l'heure : 30–45 €/h. Minimum d'intervention : 300 € HT.</t>
  </si>
  <si>
    <t xml:space="preserve">Prestations sur devis — B2B &amp; remises en état lourdes (HT)</t>
  </si>
  <si>
    <t xml:space="preserve">Famille</t>
  </si>
  <si>
    <t xml:space="preserve">Détail</t>
  </si>
  <si>
    <t xml:space="preserve">Règle / repère marché</t>
  </si>
  <si>
    <t xml:space="preserve">Bureaux &amp; locaux pro
(entretien régulier)</t>
  </si>
  <si>
    <t xml:space="preserve">Jamais de prix ferme en ligne. Simulateur de budget indicatif possible (surface × fréquence). Position : « à partir de 2 €/m²/mois HT ».</t>
  </si>
  <si>
    <t xml:space="preserve">Standards 1,5–3 €/m²/mois (jusqu'à 4–4,5 en zone tendue) · petits bureaux 3–5 €/m² · grands plateaux 1–2,5 €/m² · 20–35 €/h (pointes 40–45). TPE 50–150 m², 2–3 passages/sem : 300–650 €/mois. IDF +15–25 %.</t>
  </si>
  <si>
    <t xml:space="preserve">Cahier des charges syndic, fréquences imposées, containers : visite systématique. Page prestation + formulaire d'audit gratuit.</t>
  </si>
  <si>
    <t xml:space="preserve">Aucun chiffre en ligne.</t>
  </si>
  <si>
    <t xml:space="preserve">Contraintes d'exploitation, horaires décalés (avant 8 h / après 19 h).</t>
  </si>
  <si>
    <t xml:space="preserve">Remise en état lourde
(insalubrité, sinistre, après décès)</t>
  </si>
  <si>
    <t xml:space="preserve">Variance extrême, EPI, évacuation de déchets, parfois coordination assurance. Formulaire dédié + visite sous 48 h.</t>
  </si>
  <si>
    <t xml:space="preserve">Devis strict</t>
  </si>
  <si>
    <t xml:space="preserve">Aucun chiffre en ligne, même indicatif : un montant affiché crée un ancrage intenable.</t>
  </si>
  <si>
    <t xml:space="preserve">Simulateur de budget indicatif — bureaux (aimant à leads)</t>
  </si>
  <si>
    <t xml:space="preserve">Budget mensuel estimé — bas (≈ 1,5 €/m²/mois HT)</t>
  </si>
  <si>
    <t xml:space="preserve">Budget mensuel estimé — haut (≈ 3 €/m²/mois HT)</t>
  </si>
  <si>
    <t xml:space="preserve">Indicatif uniquement — devis ferme après audit gratuit. Affiche une fourchette pour rassurer et qualifier le prospect avant la visite.</t>
  </si>
  <si>
    <t xml:space="preserve">Garde-fous du tunnel — bascule automatique vers devis</t>
  </si>
  <si>
    <t xml:space="preserve">Le tunnel doit rétrograder proprement vers le Flux A sans perdre le lead — message type : « Votre demande mérite une étude personnalisée : audit gratuit » — dès que l'un de ces cas est rencontré :</t>
  </si>
  <si>
    <t xml:space="preserve">•  Surface &gt; 110–120 m² (B2C) ou typologie « maison ».</t>
  </si>
  <si>
    <t xml:space="preserve">•  État déclaré « très dégradé » ou « plus de 6 mois sans entretien » (grand ménage).</t>
  </si>
  <si>
    <t xml:space="preserve">•  Logement non vidé sur la fin de bail (au choix : +15 % ou devis).</t>
  </si>
  <si>
    <t xml:space="preserve">•  Vitres en hauteur, vitrine, verrière.</t>
  </si>
  <si>
    <t xml:space="preserve">•  Toute demande B2B récurrente (bureaux, copropriété, commerce).</t>
  </si>
  <si>
    <t xml:space="preserve">•  Mots-clés sensibles dans le champ libre : sinistre, insalubre, décès, gravats.</t>
  </si>
  <si>
    <t xml:space="preserve">Rappel technique (cohérent avec les règles Stripe)</t>
  </si>
  <si>
    <t xml:space="preserve">Les montants affichés par le tunnel sont indicatifs côté navigateur. Le prix encaissé doit TOUJOURS être recalculé côté serveur à partir de la grille KC_CFG avant la création de la session Checkout.</t>
  </si>
  <si>
    <t xml:space="preserve">Contrôle de rentabilité — à passer avant toute mise en production</t>
  </si>
  <si>
    <t xml:space="preserve">Aucun forfait ne passe en production sans vérifier : Forfait ≥ (heures × coût horaire chargé) + déplacement + consommables/linge + marge cible (≥ 25–30 %). Seuls les coûts réels de Tatiana valident chaque montant.</t>
  </si>
  <si>
    <t xml:space="preserve">Saisie (cellules jaunes)</t>
  </si>
  <si>
    <t xml:space="preserve">Heures estimées</t>
  </si>
  <si>
    <t xml:space="preserve">Coût horaire chargé du prestataire (€/h)</t>
  </si>
  <si>
    <t xml:space="preserve">Déplacement (€)</t>
  </si>
  <si>
    <t xml:space="preserve">Consommables / linge (€)</t>
  </si>
  <si>
    <t xml:space="preserve">Marge cible (%)</t>
  </si>
  <si>
    <t xml:space="preserve">Forfait envisagé (€)</t>
  </si>
  <si>
    <t xml:space="preserve">Résultat</t>
  </si>
  <si>
    <t xml:space="preserve">Coût direct</t>
  </si>
  <si>
    <t xml:space="preserve">Forfait plancher (marge sur prix de vente)</t>
  </si>
  <si>
    <t xml:space="preserve">Marge réalisée sur le forfait envisagé (€)</t>
  </si>
  <si>
    <t xml:space="preserve">Marge réalisée (%)</t>
  </si>
  <si>
    <t xml:space="preserve">Verdict</t>
  </si>
  <si>
    <t xml:space="preserve">« Marge sur prix de vente » : plancher = coût direct ÷ (1 − marge cible). Une marge de 30 % signifie que le coût représente 70 % du prix.</t>
  </si>
  <si>
    <t xml:space="preserve">Points que Tatiana doit trancher</t>
  </si>
  <si>
    <t xml:space="preserve">1 · Validation ligne à ligne des grilles (§ Forfaits, Options, Majorations) après passage dans le contrôle de rentabilité.</t>
  </si>
  <si>
    <t xml:space="preserve">2 · TTC / HT : afficher TTC pour les particuliers (TVA 20 %), HT pour les pros (fin de chantier, bureaux). Le tunnel doit l'afficher sans ambiguïté.</t>
  </si>
  <si>
    <t xml:space="preserve">3 · Crédit d'impôt 50 % : les concurrents B2C communiquent des prix « après crédit d'impôt » (≈ moitié prix). Kayli Clinn (NAF 81.21Z) ne peut pas le proposer sans déclaration/agrément Services à la Personne — dispositif imposant une activité exclusive incompatible avec le B2B. À étudier avec l'expert-comptable. En attendant : positionnement sur l'assurance, l'encadrement et la garantie de résultat, pas sur le prix horaire facial.</t>
  </si>
  <si>
    <t xml:space="preserve">4 · Minimum d'intervention global B2C (suggestion : 70–80 €).</t>
  </si>
  <si>
    <t xml:space="preserve">5 · Zonage déplacement sur les 8 départements (Paris / petite couronne incluse, grande couronne avec forfait).</t>
  </si>
  <si>
    <t xml:space="preserve">6 · Inclusions du forfait fin de bail : la recommandation « tout inclus » (four, frigo, vitres intérieures, placards) est un choix commercial. L'alternative « base + options » est possible mais expose à de mauvais avis si le client découvre que l'attendu de l'état des lieux n'était pas inclus.</t>
  </si>
  <si>
    <t xml:space="preserve">Légende &amp; sources</t>
  </si>
  <si>
    <t xml:space="preserve">Vendable à prix fixe + paiement immédiat (Flux B, Stripe).</t>
  </si>
  <si>
    <t xml:space="preserve">Estimation indicative</t>
  </si>
  <si>
    <t xml:space="preserve">Fourchette affichée (jamais ferme), prix confirmé après photos/audit (Flux A enrichi).</t>
  </si>
  <si>
    <t xml:space="preserve">Pas de prix ferme en ligne ; simulateur de budget indicatif possible ; visite/audit (Flux A).</t>
  </si>
  <si>
    <t xml:space="preserve">Aucun chiffre en ligne, même indicatif (variance extrême, risque sanitaire).</t>
  </si>
  <si>
    <t xml:space="preserve">Repères : prix TTC (particuliers, TVA 20 %) · prix HT (pros : fin de chantier, bureaux)</t>
  </si>
  <si>
    <t xml:space="preserve">Sources marché 2025–2026</t>
  </si>
  <si>
    <t xml:space="preserve">• Travaux.com — Tarifs entreprise de nettoyage 2026 (taux horaires, vitres 3–7 €/m², grand ménage 150–400 €, forfaits déménagement/état des lieux, moquette 100–200 €).</t>
  </si>
  <si>
    <t xml:space="preserve">• Obat — Tarif nettoyage au m² 2026 (fourchette globale 2–30 €/m²).</t>
  </si>
  <si>
    <t xml:space="preserve">• IDcleaning — Fin de bail (forfaits 160–680 €) ; Yoojo — ménage état des lieux (durées, zones critiques cuisine/SDB).</t>
  </si>
  <si>
    <t xml:space="preserve">• Companeo 2026 — Fin de chantier 2–12 €/m² par niveau ; nettoyage d'entreprise au m² par taille de site.</t>
  </si>
  <si>
    <t xml:space="preserve">• France Clean 2026 — Nettoyage professionnel au m² (bureaux 1,5–3 €/m²/mois, fin de chantier 4–10 € HT/m², IDF +15–25 %).</t>
  </si>
  <si>
    <t xml:space="preserve">• Nettoyage-entreprise-paris.com 2026 — Fin de chantier Paris/IDF 4–15 € HT/m², majorations accès +10–20 %.</t>
  </si>
  <si>
    <t xml:space="preserve">• L'Océane 2026 — Fin de chantier 3–6 / 6–10 / 10–15 €/m² ; locaux pro 1,5–4 €/m², budgets TPE IDF 300–650 €/mois.</t>
  </si>
  <si>
    <t xml:space="preserve">• Leazly, ImmobilierJuridique 2026, Rentaplus 2026 — Forfaits Airbnb par typologie, coût rotation IDF 35–50 €, frais voyageur T2 parisien 60–90 €, linge pro 2–4 €/pièce, kit linge+consommables 12–15 €.</t>
  </si>
  <si>
    <t xml:space="preserve">• DNA Propreté 2026, Vitrissimo — Vitres : 0,5–4 €/m², 20–40 €/h, interventions 50–118 €.</t>
  </si>
  <si>
    <t xml:space="preserve">• Fée du Propre — Grille fixe textiles (fauteuil 50 €, canapé 2/3/4 pl. 80/100/110 €, matelas 70–100 €).</t>
  </si>
  <si>
    <t xml:space="preserve">Document de travail interne. Les montants « recommandés » sont des hypothèses construites sur le marché 2026 ; ils n'engagent Kayli Clinn qu'après validation par la propriétaire et passage dans la formule de rentabilité.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</si>
</sst>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&quot; €&quot;"/>
    <numFmt numFmtId="166" formatCode="0%"/>
    <numFmt numFmtId="167" formatCode="#,##0.00&quot; €&quot;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.5"/>
      <color rgb="FF333333"/>
      <name val="Arial"/>
      <family val="0"/>
      <charset val="1"/>
    </font>
    <font>
      <b val="true"/>
      <sz val="10.5"/>
      <color rgb="FF333333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sz val="9"/>
      <color rgb="FF999999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.5"/>
      <color rgb="FF0F5E57"/>
      <name val="Arial"/>
      <family val="0"/>
      <charset val="1"/>
    </font>
    <font>
      <b val="true"/>
      <sz val="9.5"/>
      <color rgb="FF9C65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F5E57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9.5"/>
      <color rgb="FF006100"/>
      <name val="Arial"/>
      <family val="0"/>
      <charset val="1"/>
    </font>
    <font>
      <sz val="9.5"/>
      <color rgb="FF555555"/>
      <name val="Arial"/>
      <family val="0"/>
      <charset val="1"/>
    </font>
    <font>
      <b val="true"/>
      <sz val="9.5"/>
      <color rgb="FF1F4E78"/>
      <name val="Arial"/>
      <family val="0"/>
      <charset val="1"/>
    </font>
    <font>
      <b val="true"/>
      <sz val="9.5"/>
      <color rgb="FF9C000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i val="true"/>
      <sz val="9.5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.5"/>
      <color rgb="FF000000"/>
      <name val="Arial"/>
      <family val="0"/>
      <charset val="1"/>
    </font>
    <font>
      <i val="true"/>
      <sz val="9.5"/>
      <color rgb="FF9C65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5E57"/>
        <bgColor rgb="FF1F4E78"/>
      </patternFill>
    </fill>
    <fill>
      <patternFill patternType="solid">
        <fgColor rgb="FF1B7A6E"/>
        <bgColor rgb="FF0F5E57"/>
      </patternFill>
    </fill>
    <fill>
      <patternFill patternType="solid">
        <fgColor rgb="FFFFF3C4"/>
        <bgColor rgb="FFFFF2CC"/>
      </patternFill>
    </fill>
    <fill>
      <patternFill patternType="solid">
        <fgColor rgb="FFE8F3F1"/>
        <bgColor rgb="FFF2F2F2"/>
      </patternFill>
    </fill>
    <fill>
      <patternFill patternType="solid">
        <fgColor rgb="FFFBFBF7"/>
        <bgColor rgb="FFFFFFFF"/>
      </patternFill>
    </fill>
    <fill>
      <patternFill patternType="solid">
        <fgColor rgb="FFF2F2F2"/>
        <bgColor rgb="FFE8F3F1"/>
      </patternFill>
    </fill>
    <fill>
      <patternFill patternType="solid">
        <fgColor rgb="FFC6EFCE"/>
        <bgColor rgb="FFD9E8F5"/>
      </patternFill>
    </fill>
    <fill>
      <patternFill patternType="solid">
        <fgColor rgb="FFD9E8F5"/>
        <bgColor rgb="FFE8F3F1"/>
      </patternFill>
    </fill>
    <fill>
      <patternFill patternType="solid">
        <fgColor rgb="FFFFF2CC"/>
        <bgColor rgb="FFFFF3C4"/>
      </patternFill>
    </fill>
    <fill>
      <patternFill patternType="solid">
        <fgColor rgb="FFFFC7CE"/>
        <bgColor rgb="FFD0D0D0"/>
      </patternFill>
    </fill>
    <fill>
      <patternFill patternType="solid">
        <fgColor rgb="FFFFF2F2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3" fillId="1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1B7A6E"/>
      <rgbColor rgb="FFF2F2F2"/>
      <rgbColor rgb="FF777777"/>
      <rgbColor rgb="FF9999FF"/>
      <rgbColor rgb="FF993366"/>
      <rgbColor rgb="FFFFF3C4"/>
      <rgbColor rgb="FFE8F3F1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F5E57"/>
      <rgbColor rgb="FF0000FF"/>
      <rgbColor rgb="FF00CCFF"/>
      <rgbColor rgb="FFD9E8F5"/>
      <rgbColor rgb="FFC6EFCE"/>
      <rgbColor rgb="FFFFF2CC"/>
      <rgbColor rgb="FFFFF2F2"/>
      <rgbColor rgb="FFFBFBF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true" outlineLevel="0" max="6" min="6" style="0" width="10"/>
  </cols>
  <sheetData>
    <row r="2" customFormat="false" ht="31.5" hidden="false" customHeight="true" outlineLevel="0" collapsed="false">
      <c r="B2" s="1" t="s">
        <v>0</v>
      </c>
      <c r="C2" s="1"/>
      <c r="D2" s="1"/>
    </row>
    <row r="3" customFormat="false" ht="15" hidden="false" customHeight="true" outlineLevel="0" collapsed="false">
      <c r="B3" s="2" t="s">
        <v>1</v>
      </c>
      <c r="C3" s="2"/>
      <c r="D3" s="2"/>
    </row>
    <row r="5" customFormat="false" ht="21.75" hidden="false" customHeight="true" outlineLevel="0" collapsed="false">
      <c r="B5" s="3" t="s">
        <v>2</v>
      </c>
      <c r="C5" s="3"/>
      <c r="D5" s="3"/>
    </row>
    <row r="6" customFormat="false" ht="15" hidden="false" customHeight="false" outlineLevel="0" collapsed="false">
      <c r="B6" s="4" t="s">
        <v>3</v>
      </c>
      <c r="C6" s="5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6" t="s">
        <v>7</v>
      </c>
      <c r="D8" s="7" t="n">
        <f aca="false">IF(ISNUMBER($F$8),$F$8,0)</f>
        <v>55</v>
      </c>
      <c r="F8" s="8" t="n">
        <f aca="false">INDEX('Forfaits B2C'!$B$3:$F$6,MATCH($C$6,'Forfaits B2C'!$A$3:$A$6,0),MATCH($C$7,'Forfaits B2C'!$B$2:$F$2,0))</f>
        <v>55</v>
      </c>
    </row>
    <row r="10" customFormat="false" ht="21.75" hidden="false" customHeight="true" outlineLevel="0" collapsed="false">
      <c r="B10" s="3" t="s">
        <v>8</v>
      </c>
      <c r="C10" s="3"/>
      <c r="D10" s="3"/>
    </row>
    <row r="11" customFormat="false" ht="15" hidden="false" customHeight="false" outlineLevel="0" collapsed="false">
      <c r="B11" s="4" t="s">
        <v>9</v>
      </c>
      <c r="C11" s="5" t="s">
        <v>10</v>
      </c>
      <c r="D11" s="9" t="n">
        <f aca="false">IF($C$11="Oui",Options!$B$5,0)</f>
        <v>0</v>
      </c>
    </row>
    <row r="12" customFormat="false" ht="15" hidden="false" customHeight="false" outlineLevel="0" collapsed="false">
      <c r="B12" s="4" t="s">
        <v>11</v>
      </c>
      <c r="C12" s="5" t="s">
        <v>10</v>
      </c>
      <c r="D12" s="9" t="n">
        <f aca="false">IF($C$12="Oui",Options!$B$6,0)</f>
        <v>0</v>
      </c>
    </row>
    <row r="13" customFormat="false" ht="15" hidden="false" customHeight="false" outlineLevel="0" collapsed="false">
      <c r="B13" s="4" t="s">
        <v>12</v>
      </c>
      <c r="C13" s="5" t="s">
        <v>10</v>
      </c>
      <c r="D13" s="9" t="n">
        <f aca="false">IF($C$13="Oui",Options!$B$7,0)</f>
        <v>0</v>
      </c>
    </row>
    <row r="14" customFormat="false" ht="15" hidden="false" customHeight="false" outlineLevel="0" collapsed="false">
      <c r="B14" s="4" t="s">
        <v>13</v>
      </c>
      <c r="C14" s="5" t="s">
        <v>10</v>
      </c>
      <c r="D14" s="9" t="n">
        <f aca="false">IF($C$14="Oui",Options!$B$11,0)</f>
        <v>0</v>
      </c>
    </row>
    <row r="15" customFormat="false" ht="15" hidden="false" customHeight="false" outlineLevel="0" collapsed="false">
      <c r="B15" s="4" t="s">
        <v>14</v>
      </c>
      <c r="C15" s="5" t="s">
        <v>10</v>
      </c>
      <c r="D15" s="9" t="n">
        <f aca="false">IF($C$15="Oui",Options!$B$9,0)</f>
        <v>0</v>
      </c>
    </row>
    <row r="16" customFormat="false" ht="15" hidden="false" customHeight="false" outlineLevel="0" collapsed="false">
      <c r="B16" s="4" t="s">
        <v>15</v>
      </c>
      <c r="C16" s="5" t="s">
        <v>10</v>
      </c>
      <c r="D16" s="9" t="n">
        <f aca="false">IF($C$16="Oui",Options!$B$13,0)</f>
        <v>0</v>
      </c>
    </row>
    <row r="17" customFormat="false" ht="15" hidden="false" customHeight="false" outlineLevel="0" collapsed="false">
      <c r="B17" s="4" t="s">
        <v>16</v>
      </c>
      <c r="C17" s="5" t="n">
        <v>0</v>
      </c>
      <c r="D17" s="9" t="n">
        <f aca="false">$C$17*Options!$B$10</f>
        <v>0</v>
      </c>
    </row>
    <row r="18" customFormat="false" ht="15" hidden="false" customHeight="false" outlineLevel="0" collapsed="false">
      <c r="B18" s="4" t="s">
        <v>17</v>
      </c>
      <c r="C18" s="5" t="n">
        <v>0</v>
      </c>
      <c r="D18" s="9" t="n">
        <f aca="false">$C$18*Options!$B$8</f>
        <v>0</v>
      </c>
    </row>
    <row r="19" customFormat="false" ht="15" hidden="false" customHeight="false" outlineLevel="0" collapsed="false">
      <c r="B19" s="4" t="s">
        <v>18</v>
      </c>
      <c r="C19" s="5" t="n">
        <v>0</v>
      </c>
      <c r="D19" s="9" t="n">
        <f aca="false">IF($C$19&gt;0,MAX(20,$C$19*Options!$B$12),0)</f>
        <v>0</v>
      </c>
    </row>
    <row r="20" customFormat="false" ht="15" hidden="false" customHeight="false" outlineLevel="0" collapsed="false">
      <c r="B20" s="4" t="s">
        <v>19</v>
      </c>
      <c r="C20" s="5" t="n">
        <v>0</v>
      </c>
      <c r="D20" s="9" t="n">
        <f aca="false">IF($C$20&gt;0,MAX(100,$C$20*Options!$B$19),0)</f>
        <v>0</v>
      </c>
    </row>
    <row r="21" customFormat="false" ht="15" hidden="false" customHeight="false" outlineLevel="0" collapsed="false">
      <c r="B21" s="6" t="s">
        <v>20</v>
      </c>
      <c r="D21" s="7" t="n">
        <f aca="false">SUM(D11:D20)</f>
        <v>0</v>
      </c>
    </row>
    <row r="23" customFormat="false" ht="21.75" hidden="false" customHeight="true" outlineLevel="0" collapsed="false">
      <c r="B23" s="3" t="s">
        <v>21</v>
      </c>
      <c r="C23" s="3"/>
      <c r="D23" s="3"/>
    </row>
    <row r="24" customFormat="false" ht="15" hidden="false" customHeight="false" outlineLevel="0" collapsed="false">
      <c r="B24" s="4" t="s">
        <v>22</v>
      </c>
      <c r="C24" s="5" t="s">
        <v>10</v>
      </c>
      <c r="D24" s="10" t="n">
        <f aca="false">IF($C$24="Oui",'Majorations et frais'!$B$5,0)</f>
        <v>0</v>
      </c>
    </row>
    <row r="25" customFormat="false" ht="15" hidden="false" customHeight="false" outlineLevel="0" collapsed="false">
      <c r="B25" s="4" t="s">
        <v>23</v>
      </c>
      <c r="C25" s="5" t="s">
        <v>10</v>
      </c>
      <c r="D25" s="10" t="n">
        <f aca="false">IF($C$25="Oui",'Majorations et frais'!$B$6,0)</f>
        <v>0</v>
      </c>
    </row>
    <row r="26" customFormat="false" ht="15" hidden="false" customHeight="false" outlineLevel="0" collapsed="false">
      <c r="B26" s="4" t="s">
        <v>24</v>
      </c>
      <c r="C26" s="5" t="s">
        <v>10</v>
      </c>
      <c r="D26" s="10" t="n">
        <f aca="false">IF($C$26="Oui",'Majorations et frais'!$B$7,0)</f>
        <v>0</v>
      </c>
    </row>
    <row r="27" customFormat="false" ht="15" hidden="false" customHeight="false" outlineLevel="0" collapsed="false">
      <c r="B27" s="4" t="s">
        <v>25</v>
      </c>
      <c r="C27" s="5" t="s">
        <v>10</v>
      </c>
      <c r="D27" s="10" t="n">
        <f aca="false">IF($C$27="Oui",'Majorations et frais'!$B$8,0)</f>
        <v>0</v>
      </c>
    </row>
    <row r="28" customFormat="false" ht="15" hidden="false" customHeight="false" outlineLevel="0" collapsed="false">
      <c r="B28" s="6" t="s">
        <v>26</v>
      </c>
      <c r="D28" s="11" t="n">
        <f aca="false">D24+D25+D26+D27</f>
        <v>0</v>
      </c>
    </row>
    <row r="29" customFormat="false" ht="15" hidden="false" customHeight="false" outlineLevel="0" collapsed="false">
      <c r="B29" s="4" t="s">
        <v>27</v>
      </c>
      <c r="C29" s="5" t="s">
        <v>10</v>
      </c>
      <c r="D29" s="9" t="n">
        <f aca="false">IF($C$29="Oui",'Majorations et frais'!$B$9,0)</f>
        <v>0</v>
      </c>
    </row>
    <row r="30" customFormat="false" ht="15" hidden="false" customHeight="false" outlineLevel="0" collapsed="false">
      <c r="B30" s="4" t="s">
        <v>28</v>
      </c>
      <c r="C30" s="5" t="n">
        <v>0</v>
      </c>
      <c r="D30" s="9" t="n">
        <f aca="false">C30</f>
        <v>0</v>
      </c>
    </row>
    <row r="32" customFormat="false" ht="21.75" hidden="false" customHeight="true" outlineLevel="0" collapsed="false">
      <c r="B32" s="3" t="s">
        <v>29</v>
      </c>
      <c r="C32" s="3"/>
      <c r="D32" s="3"/>
    </row>
    <row r="33" customFormat="false" ht="15" hidden="false" customHeight="false" outlineLevel="0" collapsed="false">
      <c r="B33" s="4" t="s">
        <v>30</v>
      </c>
      <c r="D33" s="9" t="n">
        <f aca="false">D8+D21</f>
        <v>55</v>
      </c>
    </row>
    <row r="34" customFormat="false" ht="15" hidden="false" customHeight="false" outlineLevel="0" collapsed="false">
      <c r="B34" s="4" t="s">
        <v>31</v>
      </c>
      <c r="D34" s="9" t="n">
        <f aca="false">D33*D28</f>
        <v>0</v>
      </c>
    </row>
    <row r="35" customFormat="false" ht="15" hidden="false" customHeight="false" outlineLevel="0" collapsed="false">
      <c r="B35" s="4" t="s">
        <v>32</v>
      </c>
      <c r="D35" s="9" t="n">
        <f aca="false">D29+D30</f>
        <v>0</v>
      </c>
    </row>
    <row r="36" customFormat="false" ht="24" hidden="false" customHeight="true" outlineLevel="0" collapsed="false">
      <c r="B36" s="12" t="s">
        <v>33</v>
      </c>
      <c r="C36" s="13"/>
      <c r="D36" s="14" t="n">
        <f aca="false">D33+D34+D35</f>
        <v>55</v>
      </c>
    </row>
    <row r="37" customFormat="false" ht="15" hidden="false" customHeight="false" outlineLevel="0" collapsed="false">
      <c r="B37" s="4" t="s">
        <v>34</v>
      </c>
      <c r="D37" s="9" t="n">
        <f aca="false">D36*0.3</f>
        <v>16.5</v>
      </c>
    </row>
    <row r="38" customFormat="false" ht="15" hidden="false" customHeight="false" outlineLevel="0" collapsed="false">
      <c r="B38" s="4" t="s">
        <v>35</v>
      </c>
      <c r="D38" s="9" t="n">
        <f aca="false">D36-D37</f>
        <v>38.5</v>
      </c>
    </row>
    <row r="40" customFormat="false" ht="15" hidden="false" customHeight="false" outlineLevel="0" collapsed="false">
      <c r="B40" s="6" t="s">
        <v>36</v>
      </c>
      <c r="C40" s="15" t="str">
        <f aca="false">IFERROR(INDEX('Forfaits B2C'!$I$3:$I$6,MATCH($C$6,'Forfaits B2C'!$A$3:$A$6,0)),"")</f>
        <v>Prix fixe en ligne</v>
      </c>
      <c r="D40" s="15"/>
    </row>
    <row r="41" customFormat="false" ht="15" hidden="false" customHeight="false" outlineLevel="0" collapsed="false">
      <c r="B41" s="16" t="str">
        <f aca="false">IF(ISNUMBER($F$8),"Configuration vendable en ligne à prix fixe.","⚠ Hors forfait → bascule vers devis (voir onglet « Bascule vers devis »).")</f>
        <v>Configuration vendable en ligne à prix fixe.</v>
      </c>
      <c r="C41" s="16"/>
      <c r="D41" s="16"/>
    </row>
    <row r="43" customFormat="false" ht="30" hidden="false" customHeight="true" outlineLevel="0" collapsed="false">
      <c r="A43" s="17" t="s">
        <v>37</v>
      </c>
      <c r="B43" s="18"/>
      <c r="C43" s="18"/>
      <c r="D43" s="18"/>
    </row>
  </sheetData>
  <mergeCells count="9">
    <mergeCell ref="B2:D2"/>
    <mergeCell ref="B3:D3"/>
    <mergeCell ref="B5:D5"/>
    <mergeCell ref="B10:D10"/>
    <mergeCell ref="B23:D23"/>
    <mergeCell ref="B32:D32"/>
    <mergeCell ref="C40:D40"/>
    <mergeCell ref="B41:D41"/>
    <mergeCell ref="B43:D43"/>
  </mergeCells>
  <dataValidations count="16">
    <dataValidation allowBlank="false" errorStyle="stop" operator="between" showDropDown="false" showErrorMessage="false" showInputMessage="false" sqref="C6" type="list">
      <formula1>'Forfaits B2C'!$A$3:$A$6</formula1>
      <formula2>0</formula2>
    </dataValidation>
    <dataValidation allowBlank="false" errorStyle="stop" operator="between" showDropDown="false" showErrorMessage="false" showInputMessage="false" sqref="C7" type="list">
      <formula1>"Studio / T1,T2,T3,T4,T5"</formula1>
      <formula2>0</formula2>
    </dataValidation>
    <dataValidation allowBlank="false" errorStyle="stop" operator="between" showDropDown="false" showErrorMessage="false" showInputMessage="false" sqref="C11" type="list">
      <formula1>"Non,Oui"</formula1>
      <formula2>0</formula2>
    </dataValidation>
    <dataValidation allowBlank="false" errorStyle="stop" operator="between" showDropDown="false" showErrorMessage="false" showInputMessage="false" sqref="C12" type="list">
      <formula1>"Non,Oui"</formula1>
      <formula2>0</formula2>
    </dataValidation>
    <dataValidation allowBlank="false" errorStyle="stop" operator="between" showDropDown="false" showErrorMessage="false" showInputMessage="false" sqref="C13" type="list">
      <formula1>"Non,Oui"</formula1>
      <formula2>0</formula2>
    </dataValidation>
    <dataValidation allowBlank="false" errorStyle="stop" operator="between" showDropDown="false" showErrorMessage="false" showInputMessage="false" sqref="C14" type="list">
      <formula1>"Non,Oui"</formula1>
      <formula2>0</formula2>
    </dataValidation>
    <dataValidation allowBlank="false" errorStyle="stop" operator="between" showDropDown="false" showErrorMessage="false" showInputMessage="false" sqref="C15" type="list">
      <formula1>"Non,Oui"</formula1>
      <formula2>0</formula2>
    </dataValidation>
    <dataValidation allowBlank="false" errorStyle="stop" operator="between" showDropDown="false" showErrorMessage="false" showInputMessage="false" sqref="C16" type="list">
      <formula1>"Non,Oui"</formula1>
      <formula2>0</formula2>
    </dataValidation>
    <dataValidation allowBlank="false" errorStyle="stop" operator="between" showDropDown="false" showErrorMessage="false" showInputMessage="false" sqref="C24" type="list">
      <formula1>"Non,Oui"</formula1>
      <formula2>0</formula2>
    </dataValidation>
    <dataValidation allowBlank="false" errorStyle="stop" operator="between" showDropDown="false" showErrorMessage="false" showInputMessage="false" sqref="C25" type="list">
      <formula1>"Non,Oui"</formula1>
      <formula2>0</formula2>
    </dataValidation>
    <dataValidation allowBlank="false" errorStyle="stop" operator="between" showDropDown="false" showErrorMessage="false" showInputMessage="false" sqref="C26" type="list">
      <formula1>"Non,Oui"</formula1>
      <formula2>0</formula2>
    </dataValidation>
    <dataValidation allowBlank="false" errorStyle="stop" operator="between" showDropDown="false" showErrorMessage="false" showInputMessage="false" sqref="C27" type="list">
      <formula1>"Non,Oui"</formula1>
      <formula2>0</formula2>
    </dataValidation>
    <dataValidation allowBlank="false" errorStyle="stop" operator="between" showDropDown="false" showErrorMessage="false" showInputMessage="false" sqref="C29" type="list">
      <formula1>"Non,Oui"</formula1>
      <formula2>0</formula2>
    </dataValidation>
    <dataValidation allowBlank="true" errorStyle="stop" operator="greaterThanOrEqual" showDropDown="false" showErrorMessage="false" showInputMessage="false" sqref="C17 C19:C20" type="decimal">
      <formula1>0</formula1>
      <formula2>0</formula2>
    </dataValidation>
    <dataValidation allowBlank="true" errorStyle="stop" operator="greaterThanOrEqual" showDropDown="false" showErrorMessage="false" showInputMessage="false" sqref="C18" type="whole">
      <formula1>0</formula1>
      <formula2>0</formula2>
    </dataValidation>
    <dataValidation allowBlank="true" errorStyle="stop" operator="between" showDropDown="false" showErrorMessage="false" showInputMessage="false" sqref="C30" type="decimal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9" t="s">
        <v>38</v>
      </c>
      <c r="B1" s="19"/>
      <c r="C1" s="19"/>
      <c r="D1" s="19"/>
    </row>
    <row r="3" customFormat="false" ht="21.75" hidden="false" customHeight="true" outlineLevel="0" collapsed="false">
      <c r="A3" s="20" t="s">
        <v>39</v>
      </c>
      <c r="B3" s="20"/>
      <c r="C3" s="20"/>
      <c r="D3" s="20"/>
    </row>
    <row r="4" customFormat="false" ht="30" hidden="false" customHeight="true" outlineLevel="0" collapsed="false">
      <c r="A4" s="21" t="s">
        <v>40</v>
      </c>
      <c r="B4" s="21"/>
      <c r="C4" s="21"/>
      <c r="D4" s="21"/>
    </row>
    <row r="5" customFormat="false" ht="30" hidden="false" customHeight="true" outlineLevel="0" collapsed="false">
      <c r="A5" s="21" t="s">
        <v>41</v>
      </c>
      <c r="B5" s="21"/>
      <c r="C5" s="21"/>
      <c r="D5" s="21"/>
    </row>
    <row r="6" customFormat="false" ht="30" hidden="false" customHeight="true" outlineLevel="0" collapsed="false">
      <c r="A6" s="21" t="s">
        <v>42</v>
      </c>
      <c r="B6" s="21"/>
      <c r="C6" s="21"/>
      <c r="D6" s="21"/>
    </row>
    <row r="7" customFormat="false" ht="30" hidden="false" customHeight="true" outlineLevel="0" collapsed="false">
      <c r="A7" s="21" t="s">
        <v>43</v>
      </c>
      <c r="B7" s="21"/>
      <c r="C7" s="21"/>
      <c r="D7" s="21"/>
    </row>
    <row r="8" customFormat="false" ht="30" hidden="false" customHeight="true" outlineLevel="0" collapsed="false">
      <c r="A8" s="21" t="s">
        <v>44</v>
      </c>
      <c r="B8" s="21"/>
      <c r="C8" s="21"/>
      <c r="D8" s="21"/>
    </row>
    <row r="10" customFormat="false" ht="21.75" hidden="false" customHeight="true" outlineLevel="0" collapsed="false">
      <c r="A10" s="20" t="s">
        <v>45</v>
      </c>
      <c r="B10" s="20"/>
      <c r="C10" s="20"/>
      <c r="D10" s="20"/>
    </row>
    <row r="11" customFormat="false" ht="25.5" hidden="false" customHeight="true" outlineLevel="0" collapsed="false">
      <c r="A11" s="22" t="s">
        <v>3</v>
      </c>
      <c r="B11" s="22" t="s">
        <v>36</v>
      </c>
      <c r="C11" s="22" t="s">
        <v>46</v>
      </c>
      <c r="D11" s="22" t="s">
        <v>47</v>
      </c>
    </row>
    <row r="12" customFormat="false" ht="15" hidden="false" customHeight="false" outlineLevel="0" collapsed="false">
      <c r="A12" s="23" t="s">
        <v>4</v>
      </c>
      <c r="B12" s="24" t="s">
        <v>48</v>
      </c>
      <c r="C12" s="25" t="s">
        <v>49</v>
      </c>
      <c r="D12" s="26" t="s">
        <v>50</v>
      </c>
    </row>
    <row r="13" customFormat="false" ht="15" hidden="false" customHeight="false" outlineLevel="0" collapsed="false">
      <c r="A13" s="23" t="s">
        <v>51</v>
      </c>
      <c r="B13" s="24" t="s">
        <v>48</v>
      </c>
      <c r="C13" s="25" t="s">
        <v>49</v>
      </c>
      <c r="D13" s="26" t="s">
        <v>52</v>
      </c>
    </row>
    <row r="14" customFormat="false" ht="23.85" hidden="false" customHeight="false" outlineLevel="0" collapsed="false">
      <c r="A14" s="23" t="s">
        <v>53</v>
      </c>
      <c r="B14" s="24" t="s">
        <v>54</v>
      </c>
      <c r="C14" s="25" t="s">
        <v>49</v>
      </c>
      <c r="D14" s="26" t="s">
        <v>55</v>
      </c>
    </row>
    <row r="15" customFormat="false" ht="23.85" hidden="false" customHeight="false" outlineLevel="0" collapsed="false">
      <c r="A15" s="23" t="s">
        <v>56</v>
      </c>
      <c r="B15" s="24" t="s">
        <v>57</v>
      </c>
      <c r="C15" s="25" t="s">
        <v>49</v>
      </c>
      <c r="D15" s="26" t="s">
        <v>58</v>
      </c>
    </row>
    <row r="16" customFormat="false" ht="23.85" hidden="false" customHeight="false" outlineLevel="0" collapsed="false">
      <c r="A16" s="23" t="s">
        <v>59</v>
      </c>
      <c r="B16" s="27" t="s">
        <v>60</v>
      </c>
      <c r="C16" s="25" t="s">
        <v>61</v>
      </c>
      <c r="D16" s="26" t="s">
        <v>62</v>
      </c>
    </row>
    <row r="17" customFormat="false" ht="23.85" hidden="false" customHeight="false" outlineLevel="0" collapsed="false">
      <c r="A17" s="23" t="s">
        <v>63</v>
      </c>
      <c r="B17" s="28" t="s">
        <v>64</v>
      </c>
      <c r="C17" s="25" t="s">
        <v>65</v>
      </c>
      <c r="D17" s="26" t="s">
        <v>66</v>
      </c>
    </row>
    <row r="18" customFormat="false" ht="15" hidden="false" customHeight="false" outlineLevel="0" collapsed="false">
      <c r="A18" s="23" t="s">
        <v>67</v>
      </c>
      <c r="B18" s="28" t="s">
        <v>68</v>
      </c>
      <c r="C18" s="25" t="s">
        <v>65</v>
      </c>
      <c r="D18" s="26" t="s">
        <v>69</v>
      </c>
    </row>
    <row r="19" customFormat="false" ht="15" hidden="false" customHeight="false" outlineLevel="0" collapsed="false">
      <c r="A19" s="23" t="s">
        <v>70</v>
      </c>
      <c r="B19" s="28" t="s">
        <v>68</v>
      </c>
      <c r="C19" s="25" t="s">
        <v>65</v>
      </c>
      <c r="D19" s="26" t="s">
        <v>71</v>
      </c>
    </row>
    <row r="20" customFormat="false" ht="23.85" hidden="false" customHeight="false" outlineLevel="0" collapsed="false">
      <c r="A20" s="23" t="s">
        <v>72</v>
      </c>
      <c r="B20" s="29" t="s">
        <v>73</v>
      </c>
      <c r="C20" s="25" t="s">
        <v>65</v>
      </c>
      <c r="D20" s="26" t="s">
        <v>74</v>
      </c>
    </row>
    <row r="21" customFormat="false" ht="15" hidden="false" customHeight="false" outlineLevel="0" collapsed="false">
      <c r="A21" s="23" t="s">
        <v>75</v>
      </c>
      <c r="B21" s="24" t="s">
        <v>76</v>
      </c>
      <c r="C21" s="25" t="s">
        <v>77</v>
      </c>
      <c r="D21" s="26" t="s">
        <v>78</v>
      </c>
    </row>
  </sheetData>
  <mergeCells count="8">
    <mergeCell ref="A1:D1"/>
    <mergeCell ref="A3:D3"/>
    <mergeCell ref="A4:D4"/>
    <mergeCell ref="A5:D5"/>
    <mergeCell ref="A6:D6"/>
    <mergeCell ref="A7:D7"/>
    <mergeCell ref="A8:D8"/>
    <mergeCell ref="A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"/>
    <col collapsed="false" customWidth="true" hidden="false" outlineLevel="0" max="6" min="3" style="0" width="9"/>
    <col collapsed="false" customWidth="true" hidden="false" outlineLevel="0" max="7" min="7" style="0" width="30"/>
    <col collapsed="false" customWidth="true" hidden="false" outlineLevel="0" max="8" min="8" style="0" width="34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9" t="s">
        <v>79</v>
      </c>
      <c r="B1" s="19"/>
      <c r="C1" s="19"/>
      <c r="D1" s="19"/>
      <c r="E1" s="19"/>
      <c r="F1" s="19"/>
      <c r="G1" s="19"/>
      <c r="H1" s="19"/>
      <c r="I1" s="19"/>
    </row>
    <row r="2" customFormat="false" ht="25.5" hidden="false" customHeight="true" outlineLevel="0" collapsed="false">
      <c r="A2" s="22" t="s">
        <v>3</v>
      </c>
      <c r="B2" s="22" t="s">
        <v>6</v>
      </c>
      <c r="C2" s="22" t="s">
        <v>80</v>
      </c>
      <c r="D2" s="22" t="s">
        <v>81</v>
      </c>
      <c r="E2" s="22" t="s">
        <v>82</v>
      </c>
      <c r="F2" s="22" t="s">
        <v>83</v>
      </c>
      <c r="G2" s="22" t="s">
        <v>84</v>
      </c>
      <c r="H2" s="22" t="s">
        <v>85</v>
      </c>
      <c r="I2" s="22" t="s">
        <v>36</v>
      </c>
    </row>
    <row r="3" customFormat="false" ht="15" hidden="false" customHeight="false" outlineLevel="0" collapsed="false">
      <c r="A3" s="23" t="s">
        <v>4</v>
      </c>
      <c r="B3" s="30" t="n">
        <v>55</v>
      </c>
      <c r="C3" s="30" t="n">
        <v>75</v>
      </c>
      <c r="D3" s="30" t="n">
        <v>95</v>
      </c>
      <c r="E3" s="30" t="n">
        <v>120</v>
      </c>
      <c r="F3" s="31" t="s">
        <v>86</v>
      </c>
      <c r="G3" s="32" t="s">
        <v>87</v>
      </c>
      <c r="H3" s="26" t="s">
        <v>88</v>
      </c>
      <c r="I3" s="33" t="s">
        <v>89</v>
      </c>
    </row>
    <row r="4" customFormat="false" ht="23.85" hidden="false" customHeight="false" outlineLevel="0" collapsed="false">
      <c r="A4" s="23" t="s">
        <v>90</v>
      </c>
      <c r="B4" s="30" t="n">
        <v>160</v>
      </c>
      <c r="C4" s="30" t="n">
        <v>220</v>
      </c>
      <c r="D4" s="30" t="n">
        <v>290</v>
      </c>
      <c r="E4" s="30" t="n">
        <v>360</v>
      </c>
      <c r="F4" s="30" t="n">
        <v>430</v>
      </c>
      <c r="G4" s="32" t="s">
        <v>91</v>
      </c>
      <c r="H4" s="26" t="s">
        <v>92</v>
      </c>
      <c r="I4" s="33" t="s">
        <v>89</v>
      </c>
    </row>
    <row r="5" customFormat="false" ht="23.85" hidden="false" customHeight="false" outlineLevel="0" collapsed="false">
      <c r="A5" s="23" t="s">
        <v>93</v>
      </c>
      <c r="B5" s="30" t="n">
        <v>140</v>
      </c>
      <c r="C5" s="30" t="n">
        <v>190</v>
      </c>
      <c r="D5" s="30" t="n">
        <v>250</v>
      </c>
      <c r="E5" s="30" t="n">
        <v>320</v>
      </c>
      <c r="F5" s="31" t="s">
        <v>68</v>
      </c>
      <c r="G5" s="32" t="s">
        <v>94</v>
      </c>
      <c r="H5" s="26" t="s">
        <v>95</v>
      </c>
      <c r="I5" s="33" t="s">
        <v>96</v>
      </c>
    </row>
    <row r="6" customFormat="false" ht="23.85" hidden="false" customHeight="false" outlineLevel="0" collapsed="false">
      <c r="A6" s="23" t="s">
        <v>56</v>
      </c>
      <c r="B6" s="30" t="n">
        <v>70</v>
      </c>
      <c r="C6" s="30" t="n">
        <v>70</v>
      </c>
      <c r="D6" s="30" t="n">
        <v>95</v>
      </c>
      <c r="E6" s="30" t="n">
        <v>95</v>
      </c>
      <c r="F6" s="30" t="n">
        <v>130</v>
      </c>
      <c r="G6" s="32" t="s">
        <v>97</v>
      </c>
      <c r="H6" s="26" t="s">
        <v>98</v>
      </c>
      <c r="I6" s="33" t="s">
        <v>89</v>
      </c>
    </row>
    <row r="8" customFormat="false" ht="21.75" hidden="false" customHeight="true" outlineLevel="0" collapsed="false">
      <c r="A8" s="20" t="s">
        <v>99</v>
      </c>
      <c r="B8" s="20"/>
      <c r="C8" s="20"/>
      <c r="D8" s="20"/>
      <c r="E8" s="20"/>
      <c r="F8" s="20"/>
      <c r="G8" s="20"/>
      <c r="H8" s="20"/>
      <c r="I8" s="20"/>
    </row>
    <row r="9" customFormat="false" ht="15" hidden="false" customHeight="true" outlineLevel="0" collapsed="false">
      <c r="A9" s="34" t="s">
        <v>100</v>
      </c>
      <c r="B9" s="35" t="s">
        <v>101</v>
      </c>
      <c r="C9" s="35"/>
    </row>
    <row r="10" customFormat="false" ht="15" hidden="false" customHeight="true" outlineLevel="0" collapsed="false">
      <c r="A10" s="34" t="s">
        <v>102</v>
      </c>
      <c r="B10" s="35" t="s">
        <v>103</v>
      </c>
      <c r="C10" s="35"/>
    </row>
    <row r="11" customFormat="false" ht="15" hidden="false" customHeight="true" outlineLevel="0" collapsed="false">
      <c r="A11" s="34" t="s">
        <v>104</v>
      </c>
      <c r="B11" s="35" t="s">
        <v>105</v>
      </c>
      <c r="C11" s="35"/>
    </row>
    <row r="12" customFormat="false" ht="15" hidden="false" customHeight="true" outlineLevel="0" collapsed="false">
      <c r="A12" s="34" t="s">
        <v>106</v>
      </c>
      <c r="B12" s="35" t="s">
        <v>107</v>
      </c>
      <c r="C12" s="35"/>
    </row>
    <row r="14" customFormat="false" ht="21.75" hidden="false" customHeight="true" outlineLevel="0" collapsed="false">
      <c r="A14" s="20" t="s">
        <v>108</v>
      </c>
      <c r="B14" s="20"/>
      <c r="C14" s="20"/>
      <c r="D14" s="20"/>
      <c r="E14" s="20"/>
      <c r="F14" s="20"/>
      <c r="G14" s="20"/>
      <c r="H14" s="20"/>
      <c r="I14" s="20"/>
    </row>
    <row r="15" customFormat="false" ht="30" hidden="false" customHeight="true" outlineLevel="0" collapsed="false">
      <c r="A15" s="36" t="s">
        <v>109</v>
      </c>
      <c r="B15" s="36"/>
      <c r="C15" s="36"/>
      <c r="D15" s="36"/>
      <c r="E15" s="36"/>
      <c r="F15" s="36"/>
      <c r="G15" s="36"/>
      <c r="H15" s="36"/>
      <c r="I15" s="36"/>
    </row>
    <row r="16" customFormat="false" ht="30" hidden="false" customHeight="true" outlineLevel="0" collapsed="false">
      <c r="A16" s="36" t="s">
        <v>110</v>
      </c>
      <c r="B16" s="36"/>
      <c r="C16" s="36"/>
      <c r="D16" s="36"/>
      <c r="E16" s="36"/>
      <c r="F16" s="36"/>
      <c r="G16" s="36"/>
      <c r="H16" s="36"/>
      <c r="I16" s="36"/>
    </row>
    <row r="17" customFormat="false" ht="30" hidden="false" customHeight="true" outlineLevel="0" collapsed="false">
      <c r="A17" s="36" t="s">
        <v>111</v>
      </c>
      <c r="B17" s="36"/>
      <c r="C17" s="36"/>
      <c r="D17" s="36"/>
      <c r="E17" s="36"/>
      <c r="F17" s="36"/>
      <c r="G17" s="36"/>
      <c r="H17" s="36"/>
      <c r="I17" s="36"/>
    </row>
    <row r="18" customFormat="false" ht="30" hidden="false" customHeight="true" outlineLevel="0" collapsed="false">
      <c r="A18" s="36" t="s">
        <v>112</v>
      </c>
      <c r="B18" s="36"/>
      <c r="C18" s="36"/>
      <c r="D18" s="36"/>
      <c r="E18" s="36"/>
      <c r="F18" s="36"/>
      <c r="G18" s="36"/>
      <c r="H18" s="36"/>
      <c r="I18" s="36"/>
    </row>
    <row r="19" customFormat="false" ht="30" hidden="false" customHeight="true" outlineLevel="0" collapsed="false">
      <c r="A19" s="36" t="s">
        <v>113</v>
      </c>
      <c r="B19" s="36"/>
      <c r="C19" s="36"/>
      <c r="D19" s="36"/>
      <c r="E19" s="36"/>
      <c r="F19" s="36"/>
      <c r="G19" s="36"/>
      <c r="H19" s="36"/>
      <c r="I19" s="36"/>
    </row>
  </sheetData>
  <mergeCells count="12">
    <mergeCell ref="A1:I1"/>
    <mergeCell ref="A8:I8"/>
    <mergeCell ref="B9:C9"/>
    <mergeCell ref="B10:C10"/>
    <mergeCell ref="B11:C11"/>
    <mergeCell ref="B12:C12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30" hidden="false" customHeight="true" outlineLevel="0" collapsed="false">
      <c r="A1" s="37" t="s">
        <v>114</v>
      </c>
      <c r="B1" s="37"/>
      <c r="C1" s="37"/>
      <c r="D1" s="37"/>
      <c r="E1" s="37"/>
    </row>
    <row r="3" customFormat="false" ht="21.75" hidden="false" customHeight="true" outlineLevel="0" collapsed="false">
      <c r="A3" s="20" t="s">
        <v>115</v>
      </c>
      <c r="B3" s="20"/>
      <c r="C3" s="20"/>
      <c r="D3" s="20"/>
      <c r="E3" s="20"/>
    </row>
    <row r="4" customFormat="false" ht="25.5" hidden="false" customHeight="true" outlineLevel="0" collapsed="false">
      <c r="A4" s="22" t="s">
        <v>116</v>
      </c>
      <c r="B4" s="22" t="s">
        <v>117</v>
      </c>
      <c r="C4" s="22" t="s">
        <v>118</v>
      </c>
      <c r="D4" s="22" t="s">
        <v>119</v>
      </c>
      <c r="E4" s="22" t="s">
        <v>120</v>
      </c>
    </row>
    <row r="5" customFormat="false" ht="15" hidden="false" customHeight="false" outlineLevel="0" collapsed="false">
      <c r="A5" s="38" t="s">
        <v>9</v>
      </c>
      <c r="B5" s="39" t="n">
        <v>35</v>
      </c>
      <c r="C5" s="40" t="s">
        <v>121</v>
      </c>
      <c r="D5" s="41" t="s">
        <v>122</v>
      </c>
      <c r="E5" s="26" t="s">
        <v>123</v>
      </c>
    </row>
    <row r="6" customFormat="false" ht="15" hidden="false" customHeight="false" outlineLevel="0" collapsed="false">
      <c r="A6" s="38" t="s">
        <v>11</v>
      </c>
      <c r="B6" s="39" t="n">
        <v>25</v>
      </c>
      <c r="C6" s="40" t="s">
        <v>121</v>
      </c>
      <c r="D6" s="41" t="s">
        <v>122</v>
      </c>
      <c r="E6" s="26" t="s">
        <v>124</v>
      </c>
    </row>
    <row r="7" customFormat="false" ht="23.85" hidden="false" customHeight="false" outlineLevel="0" collapsed="false">
      <c r="A7" s="38" t="s">
        <v>12</v>
      </c>
      <c r="B7" s="39" t="n">
        <v>20</v>
      </c>
      <c r="C7" s="40" t="s">
        <v>125</v>
      </c>
      <c r="D7" s="41" t="s">
        <v>122</v>
      </c>
      <c r="E7" s="26" t="s">
        <v>126</v>
      </c>
    </row>
    <row r="8" customFormat="false" ht="15" hidden="false" customHeight="false" outlineLevel="0" collapsed="false">
      <c r="A8" s="38" t="s">
        <v>127</v>
      </c>
      <c r="B8" s="39" t="n">
        <v>18</v>
      </c>
      <c r="C8" s="40" t="s">
        <v>128</v>
      </c>
      <c r="D8" s="41" t="s">
        <v>129</v>
      </c>
      <c r="E8" s="26" t="s">
        <v>130</v>
      </c>
    </row>
    <row r="9" customFormat="false" ht="15" hidden="false" customHeight="false" outlineLevel="0" collapsed="false">
      <c r="A9" s="38" t="s">
        <v>14</v>
      </c>
      <c r="B9" s="39" t="n">
        <v>10</v>
      </c>
      <c r="C9" s="40" t="s">
        <v>121</v>
      </c>
      <c r="D9" s="41" t="s">
        <v>129</v>
      </c>
      <c r="E9" s="26" t="s">
        <v>131</v>
      </c>
    </row>
    <row r="10" customFormat="false" ht="15" hidden="false" customHeight="false" outlineLevel="0" collapsed="false">
      <c r="A10" s="38" t="s">
        <v>132</v>
      </c>
      <c r="B10" s="39" t="n">
        <v>35</v>
      </c>
      <c r="C10" s="40" t="s">
        <v>133</v>
      </c>
      <c r="D10" s="41" t="s">
        <v>122</v>
      </c>
      <c r="E10" s="26" t="s">
        <v>134</v>
      </c>
    </row>
    <row r="11" customFormat="false" ht="15" hidden="false" customHeight="false" outlineLevel="0" collapsed="false">
      <c r="A11" s="38" t="s">
        <v>13</v>
      </c>
      <c r="B11" s="39" t="n">
        <v>25</v>
      </c>
      <c r="C11" s="40" t="s">
        <v>121</v>
      </c>
      <c r="D11" s="41" t="s">
        <v>135</v>
      </c>
      <c r="E11" s="26" t="s">
        <v>136</v>
      </c>
    </row>
    <row r="12" customFormat="false" ht="15" hidden="false" customHeight="false" outlineLevel="0" collapsed="false">
      <c r="A12" s="38" t="s">
        <v>137</v>
      </c>
      <c r="B12" s="39" t="n">
        <v>2</v>
      </c>
      <c r="C12" s="40" t="s">
        <v>138</v>
      </c>
      <c r="D12" s="41" t="s">
        <v>139</v>
      </c>
      <c r="E12" s="26" t="s">
        <v>136</v>
      </c>
    </row>
    <row r="13" customFormat="false" ht="15" hidden="false" customHeight="false" outlineLevel="0" collapsed="false">
      <c r="A13" s="38" t="s">
        <v>15</v>
      </c>
      <c r="B13" s="39" t="n">
        <v>25</v>
      </c>
      <c r="C13" s="40" t="s">
        <v>121</v>
      </c>
      <c r="D13" s="41" t="s">
        <v>140</v>
      </c>
      <c r="E13" s="26" t="s">
        <v>136</v>
      </c>
    </row>
    <row r="14" customFormat="false" ht="15" hidden="false" customHeight="false" outlineLevel="0" collapsed="false">
      <c r="A14" s="38" t="s">
        <v>141</v>
      </c>
      <c r="B14" s="39" t="n">
        <v>80</v>
      </c>
      <c r="C14" s="40" t="s">
        <v>121</v>
      </c>
      <c r="D14" s="41" t="s">
        <v>142</v>
      </c>
      <c r="E14" s="26" t="s">
        <v>143</v>
      </c>
    </row>
    <row r="15" customFormat="false" ht="15" hidden="false" customHeight="false" outlineLevel="0" collapsed="false">
      <c r="A15" s="38" t="s">
        <v>144</v>
      </c>
      <c r="B15" s="39" t="n">
        <v>100</v>
      </c>
      <c r="C15" s="40" t="s">
        <v>121</v>
      </c>
      <c r="D15" s="41" t="s">
        <v>142</v>
      </c>
      <c r="E15" s="26" t="s">
        <v>143</v>
      </c>
    </row>
    <row r="16" customFormat="false" ht="15" hidden="false" customHeight="false" outlineLevel="0" collapsed="false">
      <c r="A16" s="38" t="s">
        <v>145</v>
      </c>
      <c r="B16" s="39" t="n">
        <v>110</v>
      </c>
      <c r="C16" s="40" t="s">
        <v>121</v>
      </c>
      <c r="D16" s="41" t="s">
        <v>142</v>
      </c>
      <c r="E16" s="26" t="s">
        <v>143</v>
      </c>
    </row>
    <row r="17" customFormat="false" ht="15" hidden="false" customHeight="false" outlineLevel="0" collapsed="false">
      <c r="A17" s="38" t="s">
        <v>146</v>
      </c>
      <c r="B17" s="39" t="n">
        <v>50</v>
      </c>
      <c r="C17" s="40" t="s">
        <v>121</v>
      </c>
      <c r="D17" s="41" t="s">
        <v>142</v>
      </c>
      <c r="E17" s="26" t="s">
        <v>143</v>
      </c>
    </row>
    <row r="18" customFormat="false" ht="15" hidden="false" customHeight="false" outlineLevel="0" collapsed="false">
      <c r="A18" s="38" t="s">
        <v>147</v>
      </c>
      <c r="B18" s="39" t="n">
        <v>75</v>
      </c>
      <c r="C18" s="40" t="s">
        <v>148</v>
      </c>
      <c r="D18" s="41" t="s">
        <v>142</v>
      </c>
      <c r="E18" s="26" t="s">
        <v>143</v>
      </c>
    </row>
    <row r="19" customFormat="false" ht="15" hidden="false" customHeight="false" outlineLevel="0" collapsed="false">
      <c r="A19" s="38" t="s">
        <v>149</v>
      </c>
      <c r="B19" s="39" t="n">
        <v>5</v>
      </c>
      <c r="C19" s="40" t="s">
        <v>150</v>
      </c>
      <c r="D19" s="41" t="s">
        <v>151</v>
      </c>
      <c r="E19" s="26" t="s">
        <v>152</v>
      </c>
    </row>
    <row r="21" customFormat="false" ht="30" hidden="false" customHeight="true" outlineLevel="0" collapsed="false">
      <c r="A21" s="36" t="s">
        <v>153</v>
      </c>
      <c r="B21" s="36"/>
      <c r="C21" s="36"/>
      <c r="D21" s="36"/>
      <c r="E21" s="36"/>
    </row>
  </sheetData>
  <mergeCells count="3">
    <mergeCell ref="A1:E1"/>
    <mergeCell ref="A3:E3"/>
    <mergeCell ref="A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9" t="s">
        <v>154</v>
      </c>
      <c r="B1" s="19"/>
      <c r="C1" s="19"/>
      <c r="D1" s="19"/>
    </row>
    <row r="3" customFormat="false" ht="21.75" hidden="false" customHeight="true" outlineLevel="0" collapsed="false">
      <c r="A3" s="20" t="s">
        <v>155</v>
      </c>
      <c r="B3" s="20"/>
      <c r="C3" s="20"/>
      <c r="D3" s="20"/>
    </row>
    <row r="4" customFormat="false" ht="25.5" hidden="false" customHeight="true" outlineLevel="0" collapsed="false">
      <c r="A4" s="22" t="s">
        <v>156</v>
      </c>
      <c r="B4" s="22" t="s">
        <v>157</v>
      </c>
      <c r="C4" s="22" t="s">
        <v>158</v>
      </c>
      <c r="D4" s="22" t="s">
        <v>159</v>
      </c>
    </row>
    <row r="5" customFormat="false" ht="15" hidden="false" customHeight="false" outlineLevel="0" collapsed="false">
      <c r="A5" s="38" t="s">
        <v>22</v>
      </c>
      <c r="B5" s="42" t="n">
        <v>0.2</v>
      </c>
      <c r="C5" s="40" t="s">
        <v>160</v>
      </c>
      <c r="D5" s="26" t="s">
        <v>161</v>
      </c>
    </row>
    <row r="6" customFormat="false" ht="23.85" hidden="false" customHeight="false" outlineLevel="0" collapsed="false">
      <c r="A6" s="38" t="s">
        <v>23</v>
      </c>
      <c r="B6" s="42" t="n">
        <v>0.25</v>
      </c>
      <c r="C6" s="40" t="s">
        <v>160</v>
      </c>
      <c r="D6" s="26" t="s">
        <v>162</v>
      </c>
    </row>
    <row r="7" customFormat="false" ht="15" hidden="false" customHeight="false" outlineLevel="0" collapsed="false">
      <c r="A7" s="38" t="s">
        <v>24</v>
      </c>
      <c r="B7" s="42" t="n">
        <v>0.15</v>
      </c>
      <c r="C7" s="40" t="s">
        <v>160</v>
      </c>
      <c r="D7" s="26" t="s">
        <v>163</v>
      </c>
    </row>
    <row r="8" customFormat="false" ht="23.85" hidden="false" customHeight="false" outlineLevel="0" collapsed="false">
      <c r="A8" s="38" t="s">
        <v>164</v>
      </c>
      <c r="B8" s="42" t="n">
        <v>0.3</v>
      </c>
      <c r="C8" s="40" t="s">
        <v>160</v>
      </c>
      <c r="D8" s="26" t="s">
        <v>165</v>
      </c>
    </row>
    <row r="9" customFormat="false" ht="15" hidden="false" customHeight="false" outlineLevel="0" collapsed="false">
      <c r="A9" s="38" t="s">
        <v>27</v>
      </c>
      <c r="B9" s="39" t="n">
        <v>15</v>
      </c>
      <c r="C9" s="40" t="s">
        <v>121</v>
      </c>
      <c r="D9" s="26" t="s">
        <v>166</v>
      </c>
    </row>
    <row r="10" customFormat="false" ht="23.85" hidden="false" customHeight="false" outlineLevel="0" collapsed="false">
      <c r="A10" s="38" t="s">
        <v>167</v>
      </c>
      <c r="B10" s="43" t="s">
        <v>168</v>
      </c>
      <c r="C10" s="40" t="s">
        <v>121</v>
      </c>
      <c r="D10" s="26" t="s">
        <v>169</v>
      </c>
    </row>
    <row r="11" customFormat="false" ht="15" hidden="false" customHeight="false" outlineLevel="0" collapsed="false">
      <c r="A11" s="38" t="s">
        <v>170</v>
      </c>
      <c r="B11" s="42" t="n">
        <v>0.5</v>
      </c>
      <c r="C11" s="40" t="s">
        <v>171</v>
      </c>
      <c r="D11" s="26" t="s">
        <v>172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30" hidden="false" customHeight="true" outlineLevel="0" collapsed="false">
      <c r="B1" s="19" t="s">
        <v>173</v>
      </c>
      <c r="C1" s="19"/>
      <c r="D1" s="19"/>
      <c r="E1" s="19"/>
    </row>
    <row r="2" customFormat="false" ht="30" hidden="false" customHeight="true" outlineLevel="0" collapsed="false">
      <c r="A2" s="44" t="s">
        <v>174</v>
      </c>
      <c r="B2" s="44"/>
      <c r="C2" s="44"/>
      <c r="D2" s="44"/>
      <c r="E2" s="44"/>
    </row>
    <row r="4" customFormat="false" ht="25.5" hidden="false" customHeight="true" outlineLevel="0" collapsed="false">
      <c r="A4" s="22"/>
      <c r="B4" s="22" t="s">
        <v>175</v>
      </c>
      <c r="C4" s="22" t="s">
        <v>176</v>
      </c>
      <c r="D4" s="22" t="s">
        <v>177</v>
      </c>
    </row>
    <row r="5" customFormat="false" ht="23.85" hidden="false" customHeight="false" outlineLevel="0" collapsed="false">
      <c r="A5" s="45"/>
      <c r="B5" s="23" t="s">
        <v>178</v>
      </c>
      <c r="C5" s="46" t="n">
        <v>4.5</v>
      </c>
      <c r="D5" s="26" t="s">
        <v>179</v>
      </c>
    </row>
    <row r="6" customFormat="false" ht="35.05" hidden="false" customHeight="false" outlineLevel="0" collapsed="false">
      <c r="A6" s="45"/>
      <c r="B6" s="23" t="s">
        <v>180</v>
      </c>
      <c r="C6" s="46" t="n">
        <v>7</v>
      </c>
      <c r="D6" s="26" t="s">
        <v>181</v>
      </c>
    </row>
    <row r="7" customFormat="false" ht="35.05" hidden="false" customHeight="false" outlineLevel="0" collapsed="false">
      <c r="A7" s="45"/>
      <c r="B7" s="23" t="s">
        <v>182</v>
      </c>
      <c r="C7" s="46" t="n">
        <v>11</v>
      </c>
      <c r="D7" s="26" t="s">
        <v>183</v>
      </c>
    </row>
    <row r="9" customFormat="false" ht="21.75" hidden="false" customHeight="true" outlineLevel="0" collapsed="false">
      <c r="A9" s="20" t="s">
        <v>184</v>
      </c>
      <c r="B9" s="20"/>
      <c r="C9" s="20"/>
      <c r="D9" s="20"/>
      <c r="E9" s="20"/>
    </row>
    <row r="10" customFormat="false" ht="25.35" hidden="false" customHeight="false" outlineLevel="0" collapsed="false">
      <c r="B10" s="4" t="s">
        <v>185</v>
      </c>
      <c r="C10" s="5" t="s">
        <v>180</v>
      </c>
    </row>
    <row r="11" customFormat="false" ht="15" hidden="false" customHeight="false" outlineLevel="0" collapsed="false">
      <c r="B11" s="4" t="s">
        <v>186</v>
      </c>
      <c r="C11" s="5" t="n">
        <v>60</v>
      </c>
    </row>
    <row r="12" customFormat="false" ht="15" hidden="false" customHeight="false" outlineLevel="0" collapsed="false">
      <c r="B12" s="4" t="s">
        <v>187</v>
      </c>
      <c r="C12" s="47" t="n">
        <f aca="false">IFERROR(VLOOKUP($C$10,$B$5:$C$7,2,0),0)</f>
        <v>7</v>
      </c>
    </row>
    <row r="13" customFormat="false" ht="15" hidden="false" customHeight="false" outlineLevel="0" collapsed="false">
      <c r="B13" s="6" t="s">
        <v>188</v>
      </c>
      <c r="C13" s="48" t="n">
        <f aca="false">MAX(300,$C$11*$C$12)</f>
        <v>420</v>
      </c>
    </row>
    <row r="14" customFormat="false" ht="15" hidden="false" customHeight="false" outlineLevel="0" collapsed="false">
      <c r="B14" s="4" t="s">
        <v>189</v>
      </c>
      <c r="C14" s="49" t="n">
        <f aca="false">ROUND($C$13*0.85,0)</f>
        <v>357</v>
      </c>
    </row>
    <row r="15" customFormat="false" ht="15" hidden="false" customHeight="false" outlineLevel="0" collapsed="false">
      <c r="B15" s="4" t="s">
        <v>190</v>
      </c>
      <c r="C15" s="49" t="n">
        <f aca="false">ROUND($C$13*1.15,0)</f>
        <v>483</v>
      </c>
    </row>
    <row r="17" customFormat="false" ht="43.5" hidden="false" customHeight="true" outlineLevel="0" collapsed="false">
      <c r="A17" s="36" t="s">
        <v>191</v>
      </c>
      <c r="B17" s="36"/>
      <c r="C17" s="36"/>
      <c r="D17" s="36"/>
      <c r="E17" s="36"/>
    </row>
  </sheetData>
  <mergeCells count="4">
    <mergeCell ref="B1:E1"/>
    <mergeCell ref="A2:E2"/>
    <mergeCell ref="A9:E9"/>
    <mergeCell ref="A17:E17"/>
  </mergeCells>
  <dataValidations count="2">
    <dataValidation allowBlank="true" errorStyle="stop" operator="greaterThanOrEqual" showDropDown="false" showErrorMessage="false" showInputMessage="false" sqref="C11" type="decimal">
      <formula1>0</formula1>
      <formula2>0</formula2>
    </dataValidation>
    <dataValidation allowBlank="false" errorStyle="stop" operator="between" showDropDown="false" showErrorMessage="false" showInputMessage="false" sqref="C10" type="list">
      <formula1>"Rafraîchissement,Rénovation standard,Chantier lourd"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9" t="s">
        <v>192</v>
      </c>
      <c r="B1" s="19"/>
      <c r="C1" s="19"/>
      <c r="D1" s="19"/>
    </row>
    <row r="2" customFormat="false" ht="25.5" hidden="false" customHeight="true" outlineLevel="0" collapsed="false">
      <c r="A2" s="22" t="s">
        <v>193</v>
      </c>
      <c r="B2" s="22" t="s">
        <v>194</v>
      </c>
      <c r="C2" s="22" t="s">
        <v>36</v>
      </c>
      <c r="D2" s="22" t="s">
        <v>195</v>
      </c>
    </row>
    <row r="3" customFormat="false" ht="57.75" hidden="false" customHeight="true" outlineLevel="0" collapsed="false">
      <c r="A3" s="23" t="s">
        <v>196</v>
      </c>
      <c r="B3" s="41" t="s">
        <v>197</v>
      </c>
      <c r="C3" s="28" t="s">
        <v>68</v>
      </c>
      <c r="D3" s="26" t="s">
        <v>198</v>
      </c>
    </row>
    <row r="4" customFormat="false" ht="57.75" hidden="false" customHeight="true" outlineLevel="0" collapsed="false">
      <c r="A4" s="23" t="s">
        <v>67</v>
      </c>
      <c r="B4" s="41" t="s">
        <v>199</v>
      </c>
      <c r="C4" s="28" t="s">
        <v>68</v>
      </c>
      <c r="D4" s="26" t="s">
        <v>200</v>
      </c>
    </row>
    <row r="5" customFormat="false" ht="57.75" hidden="false" customHeight="true" outlineLevel="0" collapsed="false">
      <c r="A5" s="23" t="s">
        <v>70</v>
      </c>
      <c r="B5" s="41" t="s">
        <v>201</v>
      </c>
      <c r="C5" s="28" t="s">
        <v>68</v>
      </c>
      <c r="D5" s="26" t="s">
        <v>200</v>
      </c>
    </row>
    <row r="6" customFormat="false" ht="57.75" hidden="false" customHeight="true" outlineLevel="0" collapsed="false">
      <c r="A6" s="23" t="s">
        <v>202</v>
      </c>
      <c r="B6" s="41" t="s">
        <v>203</v>
      </c>
      <c r="C6" s="29" t="s">
        <v>204</v>
      </c>
      <c r="D6" s="26" t="s">
        <v>205</v>
      </c>
    </row>
    <row r="8" customFormat="false" ht="21.75" hidden="false" customHeight="true" outlineLevel="0" collapsed="false">
      <c r="A8" s="20" t="s">
        <v>206</v>
      </c>
      <c r="B8" s="20"/>
      <c r="C8" s="20"/>
      <c r="D8" s="20"/>
    </row>
    <row r="9" customFormat="false" ht="15" hidden="false" customHeight="true" outlineLevel="0" collapsed="false">
      <c r="A9" s="50" t="s">
        <v>186</v>
      </c>
      <c r="B9" s="50"/>
      <c r="C9" s="51" t="n">
        <v>100</v>
      </c>
    </row>
    <row r="10" customFormat="false" ht="15" hidden="false" customHeight="true" outlineLevel="0" collapsed="false">
      <c r="A10" s="52" t="s">
        <v>207</v>
      </c>
      <c r="B10" s="52"/>
      <c r="C10" s="48" t="n">
        <f aca="false">ROUND($C$9*1.5,0)</f>
        <v>150</v>
      </c>
    </row>
    <row r="11" customFormat="false" ht="15" hidden="false" customHeight="true" outlineLevel="0" collapsed="false">
      <c r="A11" s="52" t="s">
        <v>208</v>
      </c>
      <c r="B11" s="52"/>
      <c r="C11" s="48" t="n">
        <f aca="false">ROUND($C$9*3,0)</f>
        <v>300</v>
      </c>
    </row>
    <row r="13" customFormat="false" ht="30" hidden="false" customHeight="true" outlineLevel="0" collapsed="false">
      <c r="A13" s="36" t="s">
        <v>209</v>
      </c>
      <c r="B13" s="36"/>
      <c r="C13" s="36"/>
      <c r="D13" s="36"/>
    </row>
  </sheetData>
  <mergeCells count="6">
    <mergeCell ref="A1:D1"/>
    <mergeCell ref="A8:D8"/>
    <mergeCell ref="A9:B9"/>
    <mergeCell ref="A10:B10"/>
    <mergeCell ref="A11:B11"/>
    <mergeCell ref="A13:D13"/>
  </mergeCells>
  <dataValidations count="1">
    <dataValidation allowBlank="true" errorStyle="stop" operator="greaterThanOrEqual" showDropDown="false" showErrorMessage="false" showInputMessage="false" sqref="C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6"/>
  </cols>
  <sheetData>
    <row r="1" customFormat="false" ht="30" hidden="false" customHeight="true" outlineLevel="0" collapsed="false">
      <c r="A1" s="19" t="s">
        <v>210</v>
      </c>
      <c r="B1" s="19"/>
    </row>
    <row r="3" customFormat="false" ht="43.5" hidden="false" customHeight="true" outlineLevel="0" collapsed="false">
      <c r="A3" s="53" t="s">
        <v>211</v>
      </c>
      <c r="B3" s="53"/>
    </row>
    <row r="5" customFormat="false" ht="24" hidden="false" customHeight="true" outlineLevel="0" collapsed="false">
      <c r="A5" s="45"/>
      <c r="B5" s="54" t="s">
        <v>212</v>
      </c>
    </row>
    <row r="6" customFormat="false" ht="24" hidden="false" customHeight="true" outlineLevel="0" collapsed="false">
      <c r="A6" s="45"/>
      <c r="B6" s="54" t="s">
        <v>213</v>
      </c>
    </row>
    <row r="7" customFormat="false" ht="24" hidden="false" customHeight="true" outlineLevel="0" collapsed="false">
      <c r="A7" s="45"/>
      <c r="B7" s="54" t="s">
        <v>214</v>
      </c>
    </row>
    <row r="8" customFormat="false" ht="24" hidden="false" customHeight="true" outlineLevel="0" collapsed="false">
      <c r="A8" s="45"/>
      <c r="B8" s="54" t="s">
        <v>215</v>
      </c>
    </row>
    <row r="9" customFormat="false" ht="24" hidden="false" customHeight="true" outlineLevel="0" collapsed="false">
      <c r="A9" s="45"/>
      <c r="B9" s="54" t="s">
        <v>216</v>
      </c>
    </row>
    <row r="10" customFormat="false" ht="24" hidden="false" customHeight="true" outlineLevel="0" collapsed="false">
      <c r="A10" s="45"/>
      <c r="B10" s="54" t="s">
        <v>217</v>
      </c>
    </row>
    <row r="12" customFormat="false" ht="21.75" hidden="false" customHeight="true" outlineLevel="0" collapsed="false">
      <c r="A12" s="20" t="s">
        <v>218</v>
      </c>
      <c r="B12" s="20"/>
    </row>
    <row r="13" customFormat="false" ht="43.5" hidden="false" customHeight="true" outlineLevel="0" collapsed="false">
      <c r="A13" s="55" t="s">
        <v>219</v>
      </c>
      <c r="B13" s="55"/>
    </row>
  </sheetData>
  <mergeCells count="4">
    <mergeCell ref="A1:B1"/>
    <mergeCell ref="A3:B3"/>
    <mergeCell ref="A12:B12"/>
    <mergeCell ref="A13:B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30"/>
  </cols>
  <sheetData>
    <row r="1" customFormat="false" ht="30" hidden="false" customHeight="true" outlineLevel="0" collapsed="false">
      <c r="B1" s="19" t="s">
        <v>220</v>
      </c>
      <c r="C1" s="19"/>
      <c r="D1" s="19"/>
    </row>
    <row r="2" customFormat="false" ht="43.5" hidden="false" customHeight="true" outlineLevel="0" collapsed="false">
      <c r="A2" s="44" t="s">
        <v>221</v>
      </c>
      <c r="B2" s="44"/>
      <c r="C2" s="44"/>
      <c r="D2" s="44"/>
    </row>
    <row r="4" customFormat="false" ht="21.75" hidden="false" customHeight="true" outlineLevel="0" collapsed="false">
      <c r="A4" s="20" t="s">
        <v>222</v>
      </c>
      <c r="B4" s="20"/>
      <c r="C4" s="20"/>
      <c r="D4" s="20"/>
    </row>
    <row r="5" customFormat="false" ht="15" hidden="false" customHeight="false" outlineLevel="0" collapsed="false">
      <c r="B5" s="4" t="s">
        <v>223</v>
      </c>
      <c r="C5" s="51" t="n">
        <v>2.5</v>
      </c>
    </row>
    <row r="6" customFormat="false" ht="15" hidden="false" customHeight="false" outlineLevel="0" collapsed="false">
      <c r="B6" s="4" t="s">
        <v>224</v>
      </c>
      <c r="C6" s="56" t="n">
        <v>18</v>
      </c>
    </row>
    <row r="7" customFormat="false" ht="15" hidden="false" customHeight="false" outlineLevel="0" collapsed="false">
      <c r="B7" s="4" t="s">
        <v>225</v>
      </c>
      <c r="C7" s="56" t="n">
        <v>10</v>
      </c>
    </row>
    <row r="8" customFormat="false" ht="15" hidden="false" customHeight="false" outlineLevel="0" collapsed="false">
      <c r="B8" s="4" t="s">
        <v>226</v>
      </c>
      <c r="C8" s="56" t="n">
        <v>5</v>
      </c>
    </row>
    <row r="9" customFormat="false" ht="15" hidden="false" customHeight="false" outlineLevel="0" collapsed="false">
      <c r="B9" s="4" t="s">
        <v>227</v>
      </c>
      <c r="C9" s="57" t="n">
        <v>0.3</v>
      </c>
    </row>
    <row r="10" customFormat="false" ht="15" hidden="false" customHeight="false" outlineLevel="0" collapsed="false">
      <c r="B10" s="4" t="s">
        <v>228</v>
      </c>
      <c r="C10" s="56" t="n">
        <v>95</v>
      </c>
    </row>
    <row r="12" customFormat="false" ht="21.75" hidden="false" customHeight="true" outlineLevel="0" collapsed="false">
      <c r="A12" s="20" t="s">
        <v>229</v>
      </c>
      <c r="B12" s="20"/>
      <c r="C12" s="20"/>
      <c r="D12" s="20"/>
    </row>
    <row r="13" customFormat="false" ht="15" hidden="false" customHeight="false" outlineLevel="0" collapsed="false">
      <c r="B13" s="6" t="s">
        <v>230</v>
      </c>
      <c r="C13" s="48" t="n">
        <f aca="false">$C$5*$C$6+$C$7+$C$8</f>
        <v>60</v>
      </c>
    </row>
    <row r="14" customFormat="false" ht="15" hidden="false" customHeight="false" outlineLevel="0" collapsed="false">
      <c r="B14" s="6" t="s">
        <v>231</v>
      </c>
      <c r="C14" s="48" t="n">
        <f aca="false">ROUND($C$13/(1-$C$9),0)</f>
        <v>86</v>
      </c>
    </row>
    <row r="15" customFormat="false" ht="15" hidden="false" customHeight="false" outlineLevel="0" collapsed="false">
      <c r="B15" s="4" t="s">
        <v>232</v>
      </c>
      <c r="C15" s="49" t="n">
        <f aca="false">$C$10-$C$13</f>
        <v>35</v>
      </c>
    </row>
    <row r="16" customFormat="false" ht="15" hidden="false" customHeight="false" outlineLevel="0" collapsed="false">
      <c r="B16" s="4" t="s">
        <v>233</v>
      </c>
      <c r="C16" s="58" t="n">
        <f aca="false">IFERROR(($C$10-$C$13)/$C$10,0)</f>
        <v>0.368421052631579</v>
      </c>
    </row>
    <row r="17" customFormat="false" ht="25.35" hidden="false" customHeight="false" outlineLevel="0" collapsed="false">
      <c r="B17" s="6" t="s">
        <v>234</v>
      </c>
      <c r="C17" s="59" t="str">
        <f aca="false">IF($C$10&gt;=$C$14,"✓ Rentable (marge ≥ cible)","✗ Insuffisant : relever le prix ou réduire les coûts")</f>
        <v>✓ Rentable (marge ≥ cible)</v>
      </c>
    </row>
    <row r="19" customFormat="false" ht="30" hidden="false" customHeight="true" outlineLevel="0" collapsed="false">
      <c r="A19" s="36" t="s">
        <v>235</v>
      </c>
      <c r="B19" s="36"/>
      <c r="C19" s="36"/>
      <c r="D19" s="36"/>
    </row>
  </sheetData>
  <mergeCells count="5">
    <mergeCell ref="B1:D1"/>
    <mergeCell ref="A2:D2"/>
    <mergeCell ref="A4:D4"/>
    <mergeCell ref="A12:D12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6"/>
  </cols>
  <sheetData>
    <row r="1" customFormat="false" ht="30" hidden="false" customHeight="true" outlineLevel="0" collapsed="false">
      <c r="A1" s="19" t="s">
        <v>236</v>
      </c>
      <c r="B1" s="19"/>
    </row>
    <row r="3" customFormat="false" ht="31.5" hidden="false" customHeight="true" outlineLevel="0" collapsed="false">
      <c r="A3" s="45"/>
      <c r="B3" s="54" t="s">
        <v>237</v>
      </c>
    </row>
    <row r="4" customFormat="false" ht="48" hidden="false" customHeight="true" outlineLevel="0" collapsed="false">
      <c r="A4" s="45"/>
      <c r="B4" s="54" t="s">
        <v>238</v>
      </c>
    </row>
    <row r="5" customFormat="false" ht="111.75" hidden="false" customHeight="true" outlineLevel="0" collapsed="false">
      <c r="A5" s="45"/>
      <c r="B5" s="54" t="s">
        <v>239</v>
      </c>
    </row>
    <row r="6" customFormat="false" ht="30" hidden="false" customHeight="true" outlineLevel="0" collapsed="false">
      <c r="A6" s="45"/>
      <c r="B6" s="54" t="s">
        <v>240</v>
      </c>
    </row>
    <row r="7" customFormat="false" ht="31.5" hidden="false" customHeight="true" outlineLevel="0" collapsed="false">
      <c r="A7" s="45"/>
      <c r="B7" s="54" t="s">
        <v>241</v>
      </c>
    </row>
    <row r="8" customFormat="false" ht="79.5" hidden="false" customHeight="true" outlineLevel="0" collapsed="false">
      <c r="A8" s="45"/>
      <c r="B8" s="54" t="s">
        <v>242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</cols>
  <sheetData>
    <row r="1" customFormat="false" ht="30" hidden="false" customHeight="true" outlineLevel="0" collapsed="false">
      <c r="A1" s="37" t="s">
        <v>243</v>
      </c>
      <c r="B1" s="37"/>
    </row>
    <row r="3" customFormat="false" ht="31.5" hidden="false" customHeight="true" outlineLevel="0" collapsed="false">
      <c r="A3" s="60" t="s">
        <v>89</v>
      </c>
      <c r="B3" s="61" t="s">
        <v>244</v>
      </c>
    </row>
    <row r="4" customFormat="false" ht="31.5" hidden="false" customHeight="true" outlineLevel="0" collapsed="false">
      <c r="A4" s="62" t="s">
        <v>245</v>
      </c>
      <c r="B4" s="61" t="s">
        <v>246</v>
      </c>
    </row>
    <row r="5" customFormat="false" ht="31.5" hidden="false" customHeight="true" outlineLevel="0" collapsed="false">
      <c r="A5" s="63" t="s">
        <v>68</v>
      </c>
      <c r="B5" s="61" t="s">
        <v>247</v>
      </c>
    </row>
    <row r="6" customFormat="false" ht="31.5" hidden="false" customHeight="true" outlineLevel="0" collapsed="false">
      <c r="A6" s="64" t="s">
        <v>204</v>
      </c>
      <c r="B6" s="61" t="s">
        <v>248</v>
      </c>
    </row>
    <row r="8" customFormat="false" ht="21.75" hidden="false" customHeight="true" outlineLevel="0" collapsed="false">
      <c r="A8" s="20" t="s">
        <v>249</v>
      </c>
      <c r="B8" s="20"/>
    </row>
    <row r="10" customFormat="false" ht="21.75" hidden="false" customHeight="true" outlineLevel="0" collapsed="false">
      <c r="A10" s="20" t="s">
        <v>250</v>
      </c>
      <c r="B10" s="20"/>
    </row>
    <row r="11" customFormat="false" ht="25.5" hidden="false" customHeight="true" outlineLevel="0" collapsed="false">
      <c r="A11" s="65" t="s">
        <v>251</v>
      </c>
      <c r="B11" s="65"/>
    </row>
    <row r="12" customFormat="false" ht="25.5" hidden="false" customHeight="true" outlineLevel="0" collapsed="false">
      <c r="A12" s="65" t="s">
        <v>252</v>
      </c>
      <c r="B12" s="65"/>
    </row>
    <row r="13" customFormat="false" ht="25.5" hidden="false" customHeight="true" outlineLevel="0" collapsed="false">
      <c r="A13" s="65" t="s">
        <v>253</v>
      </c>
      <c r="B13" s="65"/>
    </row>
    <row r="14" customFormat="false" ht="25.5" hidden="false" customHeight="true" outlineLevel="0" collapsed="false">
      <c r="A14" s="65" t="s">
        <v>254</v>
      </c>
      <c r="B14" s="65"/>
    </row>
    <row r="15" customFormat="false" ht="25.5" hidden="false" customHeight="true" outlineLevel="0" collapsed="false">
      <c r="A15" s="65" t="s">
        <v>255</v>
      </c>
      <c r="B15" s="65"/>
    </row>
    <row r="16" customFormat="false" ht="25.5" hidden="false" customHeight="true" outlineLevel="0" collapsed="false">
      <c r="A16" s="65" t="s">
        <v>256</v>
      </c>
      <c r="B16" s="65"/>
    </row>
    <row r="17" customFormat="false" ht="25.5" hidden="false" customHeight="true" outlineLevel="0" collapsed="false">
      <c r="A17" s="65" t="s">
        <v>257</v>
      </c>
      <c r="B17" s="65"/>
    </row>
    <row r="18" customFormat="false" ht="25.5" hidden="false" customHeight="true" outlineLevel="0" collapsed="false">
      <c r="A18" s="65" t="s">
        <v>258</v>
      </c>
      <c r="B18" s="65"/>
    </row>
    <row r="19" customFormat="false" ht="25.5" hidden="false" customHeight="true" outlineLevel="0" collapsed="false">
      <c r="A19" s="65" t="s">
        <v>259</v>
      </c>
      <c r="B19" s="65"/>
    </row>
    <row r="20" customFormat="false" ht="25.5" hidden="false" customHeight="true" outlineLevel="0" collapsed="false">
      <c r="A20" s="65" t="s">
        <v>260</v>
      </c>
      <c r="B20" s="65"/>
    </row>
    <row r="22" customFormat="false" ht="30" hidden="false" customHeight="true" outlineLevel="0" collapsed="false">
      <c r="A22" s="18" t="s">
        <v>261</v>
      </c>
      <c r="B22" s="18"/>
    </row>
  </sheetData>
  <mergeCells count="14">
    <mergeCell ref="A1:B1"/>
    <mergeCell ref="A8:B8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2026-06-11T20:07:40Z</dcterms:created>
  <dc:creator>openpyxl</dc:creator>
  <dc:description/>
  <dc:language>en-US</dc:language>
  <cp:lastModifiedBy/>
  <dcterms:modified xsi:type="dcterms:W3CDTF">2026-06-11T20:07:40Z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